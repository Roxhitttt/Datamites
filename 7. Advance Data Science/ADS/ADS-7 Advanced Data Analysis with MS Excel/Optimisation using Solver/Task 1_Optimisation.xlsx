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1" sheetId="1" r:id="rId4"/>
    <sheet state="visible" name="Task 2" sheetId="2" r:id="rId5"/>
    <sheet state="visible" name="Task 3" sheetId="3" r:id="rId6"/>
    <sheet state="visible" name="Task 4" sheetId="4" r:id="rId7"/>
  </sheets>
  <definedNames>
    <definedName localSheetId="0" name="solver_cvg">0.0001</definedName>
    <definedName localSheetId="1" name="solver_cvg">0.0001</definedName>
    <definedName localSheetId="0" name="solver_drv">1</definedName>
    <definedName localSheetId="1" name="solver_drv">2</definedName>
    <definedName localSheetId="0" name="solver_eng">2</definedName>
    <definedName localSheetId="1" name="solver_eng">2</definedName>
    <definedName localSheetId="0" name="solver_est">1</definedName>
    <definedName localSheetId="1" name="solver_est">1</definedName>
    <definedName localSheetId="0" name="solver_itr">2147483647</definedName>
    <definedName localSheetId="1" name="solver_itr">2147483647</definedName>
    <definedName localSheetId="0" name="solver_mip">2147483647</definedName>
    <definedName localSheetId="1" name="solver_mip">2147483647</definedName>
    <definedName localSheetId="0" name="solver_mni">30</definedName>
    <definedName localSheetId="1" name="solver_mni">30</definedName>
    <definedName localSheetId="0" name="solver_mrt">0.075</definedName>
    <definedName localSheetId="1" name="solver_mrt">0.075</definedName>
    <definedName localSheetId="0" name="solver_msl">2</definedName>
    <definedName localSheetId="1" name="solver_msl">2</definedName>
    <definedName localSheetId="0" name="solver_neg">1</definedName>
    <definedName localSheetId="1" name="solver_neg">1</definedName>
    <definedName localSheetId="0" name="solver_nod">2147483647</definedName>
    <definedName localSheetId="1" name="solver_nod">2147483647</definedName>
    <definedName localSheetId="0" name="solver_num">5</definedName>
    <definedName localSheetId="1" name="solver_num">2</definedName>
    <definedName localSheetId="0" name="solver_nwt">1</definedName>
    <definedName localSheetId="1" name="solver_nwt">1</definedName>
    <definedName localSheetId="0" name="solver_pre">0.000001</definedName>
    <definedName localSheetId="1" name="solver_pre">0.000001</definedName>
    <definedName localSheetId="0" name="solver_rbv">1</definedName>
    <definedName localSheetId="1" name="solver_rbv">2</definedName>
    <definedName localSheetId="0" name="solver_rel1">1</definedName>
    <definedName localSheetId="1" name="solver_rel1">3</definedName>
    <definedName localSheetId="0" name="solver_rel2">3</definedName>
    <definedName localSheetId="1" name="solver_rel2">2</definedName>
    <definedName localSheetId="0" name="solver_rel3">1</definedName>
    <definedName localSheetId="0" name="solver_rel4">3</definedName>
    <definedName localSheetId="0" name="solver_rel5">2</definedName>
    <definedName localSheetId="0" name="solver_rel6">2</definedName>
    <definedName localSheetId="0" name="solver_rhs1">50</definedName>
    <definedName localSheetId="1" name="solver_rhs1">0</definedName>
    <definedName localSheetId="0" name="solver_rhs2">40</definedName>
    <definedName localSheetId="0" name="solver_rhs3">40</definedName>
    <definedName localSheetId="0" name="solver_rhs4">15</definedName>
    <definedName localSheetId="0" name="solver_rhs5">300</definedName>
    <definedName localSheetId="0" name="solver_rhs6">400</definedName>
    <definedName localSheetId="0" name="solver_rlx">2</definedName>
    <definedName localSheetId="1" name="solver_rlx">2</definedName>
    <definedName localSheetId="0" name="solver_rsd">0</definedName>
    <definedName localSheetId="1" name="solver_rsd">0</definedName>
    <definedName localSheetId="0" name="solver_scl">1</definedName>
    <definedName localSheetId="1" name="solver_scl">2</definedName>
    <definedName localSheetId="0" name="solver_sho">2</definedName>
    <definedName localSheetId="1" name="solver_sho">2</definedName>
    <definedName localSheetId="0" name="solver_ssz">100</definedName>
    <definedName localSheetId="1" name="solver_ssz">100</definedName>
    <definedName localSheetId="0" name="solver_tim">2147483647</definedName>
    <definedName localSheetId="1" name="solver_tim">2147483647</definedName>
    <definedName localSheetId="0" name="solver_tol">0.01</definedName>
    <definedName localSheetId="1" name="solver_tol">0.01</definedName>
    <definedName localSheetId="0" name="solver_typ">1</definedName>
    <definedName localSheetId="1" name="solver_typ">2</definedName>
    <definedName localSheetId="0" name="solver_val">0</definedName>
    <definedName localSheetId="1" name="solver_val">0</definedName>
    <definedName localSheetId="0" name="solver_ver">3</definedName>
    <definedName localSheetId="1" name="solver_ver">3</definedName>
    <definedName localSheetId="0" name="solver_lhs3">'Task 1'!$C$32</definedName>
    <definedName localSheetId="1" name="solver_lhs1">'Task 2'!$D$23:$F$23</definedName>
    <definedName localSheetId="1" name="solver_opt">'Task 2'!$G$25</definedName>
    <definedName localSheetId="0" name="solver_adj">'Task 1'!$C$30:$C$46</definedName>
    <definedName localSheetId="1" name="solver_lhs2">'Task 2'!$I$11:$I$16</definedName>
    <definedName localSheetId="0" name="solver_opt">'Task 1'!$C$32</definedName>
    <definedName localSheetId="0" name="solver_lhs4">'Task 1'!$C$33:$C$46</definedName>
    <definedName localSheetId="0" name="solver_lhs6">'Task 1'!$C$47</definedName>
    <definedName localSheetId="0" name="solver_lhs2">'Task 1'!$C$31</definedName>
    <definedName localSheetId="0" name="solver_lhs5">'Task 1'!$C$47</definedName>
    <definedName localSheetId="0" name="solver_lhs1">'Task 1'!$C$30</definedName>
    <definedName localSheetId="1" name="solver_rhs2">'Task 2'!$M$11:$M$16</definedName>
    <definedName localSheetId="1" name="solver_adj">'Task 2'!$J$11:$L$16</definedName>
  </definedNames>
  <calcPr/>
  <extLst>
    <ext uri="GoogleSheetsCustomDataVersion2">
      <go:sheetsCustomData xmlns:go="http://customooxmlschemas.google.com/" r:id="rId8" roundtripDataChecksum="Z+RjC863MlD0HCOtcILy3biaPfdg+BrKOZQ5ZrraY5Y="/>
    </ext>
  </extLst>
</workbook>
</file>

<file path=xl/sharedStrings.xml><?xml version="1.0" encoding="utf-8"?>
<sst xmlns="http://schemas.openxmlformats.org/spreadsheetml/2006/main" count="142" uniqueCount="117">
  <si>
    <r>
      <rPr>
        <rFont val="Calibri"/>
        <b/>
        <color rgb="FF000000"/>
        <sz val="12.0"/>
      </rPr>
      <t>Maximize Profit of Products:</t>
    </r>
    <r>
      <rPr>
        <rFont val="Calibri"/>
        <b val="0"/>
        <color rgb="FF000000"/>
        <sz val="12.0"/>
      </rPr>
      <t xml:space="preserve"> Profit per unit is given for 17 products. Your task is to find the maximum profit using the solver. </t>
    </r>
  </si>
  <si>
    <t>The combined production capacity is 300 units per day.</t>
  </si>
  <si>
    <t>The company needs 50 units of Product A to fill an existing order.</t>
  </si>
  <si>
    <t>The company needs 40 units of Product B to fill an expected order.</t>
  </si>
  <si>
    <t xml:space="preserve">The market for Product C is relatively limited. So the company is not interested in producing more than 40 units of this product per day. </t>
  </si>
  <si>
    <t xml:space="preserve">            Additionally, the Product D to Q should be more or equal to 15.</t>
  </si>
  <si>
    <t>Products</t>
  </si>
  <si>
    <t>Units</t>
  </si>
  <si>
    <t>Profit/Unit</t>
  </si>
  <si>
    <t>Profit</t>
  </si>
  <si>
    <t>Product A</t>
  </si>
  <si>
    <t>Product B</t>
  </si>
  <si>
    <t>Product C</t>
  </si>
  <si>
    <t>Product D</t>
  </si>
  <si>
    <t>Product E</t>
  </si>
  <si>
    <t>Product F</t>
  </si>
  <si>
    <t>Product G</t>
  </si>
  <si>
    <t>Product H</t>
  </si>
  <si>
    <t>Product I</t>
  </si>
  <si>
    <t>Product J</t>
  </si>
  <si>
    <t>Product K</t>
  </si>
  <si>
    <t>Product L</t>
  </si>
  <si>
    <t>Product M</t>
  </si>
  <si>
    <t>Product N</t>
  </si>
  <si>
    <t>Product O</t>
  </si>
  <si>
    <t>Product P</t>
  </si>
  <si>
    <t>Product Q</t>
  </si>
  <si>
    <t>Total</t>
  </si>
  <si>
    <t>Total Profit</t>
  </si>
  <si>
    <t>Locations</t>
  </si>
  <si>
    <t>L.A.</t>
  </si>
  <si>
    <t>St. Louis</t>
  </si>
  <si>
    <t>Boston</t>
  </si>
  <si>
    <t>Store</t>
  </si>
  <si>
    <t>Number Needed</t>
  </si>
  <si>
    <t>No. to ship from...</t>
  </si>
  <si>
    <t>No. to be Shipped</t>
  </si>
  <si>
    <t>Denver</t>
  </si>
  <si>
    <t>Houston</t>
  </si>
  <si>
    <t>Atlanta</t>
  </si>
  <si>
    <t>Miami</t>
  </si>
  <si>
    <t>Seattle</t>
  </si>
  <si>
    <t>Detroit</t>
  </si>
  <si>
    <t>Warehouse Inventory</t>
  </si>
  <si>
    <t>Starting Inventory:</t>
  </si>
  <si>
    <t>No. Remaining:</t>
  </si>
  <si>
    <t>Shipping Costs:</t>
  </si>
  <si>
    <t>Market Budget Allocation</t>
  </si>
  <si>
    <t>Current</t>
  </si>
  <si>
    <t>Solver</t>
  </si>
  <si>
    <t>Source</t>
  </si>
  <si>
    <t>Clicks</t>
  </si>
  <si>
    <t>CPC</t>
  </si>
  <si>
    <t>Total Cost</t>
  </si>
  <si>
    <t>Conversion Rate</t>
  </si>
  <si>
    <t>Conversions</t>
  </si>
  <si>
    <t>Solver Budget</t>
  </si>
  <si>
    <t>Google</t>
  </si>
  <si>
    <t>Facebook</t>
  </si>
  <si>
    <t>$1,44,000</t>
  </si>
  <si>
    <t>MSN</t>
  </si>
  <si>
    <t>WSJ</t>
  </si>
  <si>
    <t>Yahoo</t>
  </si>
  <si>
    <t>Twitter</t>
  </si>
  <si>
    <t>$1,10,600</t>
  </si>
  <si>
    <t>Reddit</t>
  </si>
  <si>
    <t>Instagram</t>
  </si>
  <si>
    <t>WhatsApp</t>
  </si>
  <si>
    <t>Snapchat</t>
  </si>
  <si>
    <t>TikTok</t>
  </si>
  <si>
    <t>Discord</t>
  </si>
  <si>
    <t>$7,20,565</t>
  </si>
  <si>
    <r>
      <rPr>
        <rFont val="Calibri"/>
        <b/>
        <color rgb="FFFF0000"/>
        <sz val="12.0"/>
      </rPr>
      <t xml:space="preserve">Problem Statement: </t>
    </r>
    <r>
      <rPr>
        <rFont val="Calibri"/>
        <color theme="1"/>
        <sz val="12.0"/>
      </rPr>
      <t>Here, the current stats on the left, and the portion where you are going to use the solver is on the right. Your task is to maximize the conversions (value of cell I17). The budget should be higher or equal to sixty thousands and the total solver budget and the total cost should be equal.</t>
    </r>
  </si>
  <si>
    <t>Project Selection</t>
  </si>
  <si>
    <t>Objective (NPV)</t>
  </si>
  <si>
    <t>$7,00,00,000</t>
  </si>
  <si>
    <t>By Changing Cells</t>
  </si>
  <si>
    <t>Project No</t>
  </si>
  <si>
    <t>NPV</t>
  </si>
  <si>
    <t>Year 1</t>
  </si>
  <si>
    <t>Year 2</t>
  </si>
  <si>
    <t>Project 1</t>
  </si>
  <si>
    <t>$ 1,40,00,000.00</t>
  </si>
  <si>
    <t>$ 1,20,00,000.00</t>
  </si>
  <si>
    <t>$ 30,00,000.00</t>
  </si>
  <si>
    <t>Project 2</t>
  </si>
  <si>
    <t>$ 1,70,00,000.00</t>
  </si>
  <si>
    <t>$ 5,40,00,000.00</t>
  </si>
  <si>
    <t>$ 70,00,000.00</t>
  </si>
  <si>
    <t>Project 3</t>
  </si>
  <si>
    <t>$ 60,00,000.00</t>
  </si>
  <si>
    <t>Project 4</t>
  </si>
  <si>
    <t>$ 1,50,00,000.00</t>
  </si>
  <si>
    <t>$ 20,00,000.00</t>
  </si>
  <si>
    <t>Project 5</t>
  </si>
  <si>
    <t>$ 4,00,00,000.00</t>
  </si>
  <si>
    <t>$ 3,20,00,000.00</t>
  </si>
  <si>
    <t>$ 3,50,00,000.00</t>
  </si>
  <si>
    <t>Project 6</t>
  </si>
  <si>
    <t>Project 7</t>
  </si>
  <si>
    <t>$ 4,80,00,000.00</t>
  </si>
  <si>
    <t>$ 40,00,000.00</t>
  </si>
  <si>
    <t>Project 8</t>
  </si>
  <si>
    <t>$ 1,00,00,000.00</t>
  </si>
  <si>
    <t>$ 3,60,00,000.00</t>
  </si>
  <si>
    <t>Project 9</t>
  </si>
  <si>
    <t>$ 1,80,00,000.00</t>
  </si>
  <si>
    <t>Year1</t>
  </si>
  <si>
    <t>Year2</t>
  </si>
  <si>
    <t>Needed</t>
  </si>
  <si>
    <t>$ 2,00,00,000.00</t>
  </si>
  <si>
    <t>Available</t>
  </si>
  <si>
    <t>$ 5,00,00,000.00</t>
  </si>
  <si>
    <r>
      <rPr>
        <rFont val="Calibri"/>
        <b/>
        <color rgb="FFFF0000"/>
        <sz val="12.0"/>
      </rPr>
      <t xml:space="preserve">Problem Statement: </t>
    </r>
    <r>
      <rPr>
        <rFont val="Calibri"/>
        <color rgb="FF000000"/>
        <sz val="12.0"/>
      </rPr>
      <t>Use an excel solver to determine which projects should be undertaken in excel.</t>
    </r>
  </si>
  <si>
    <t>Firstly, find the maximum value of NPV.</t>
  </si>
  <si>
    <t>Secondly, the year 1 value should be &lt;=50,000,000 and year 2 value should be &lt;=20,000,000.</t>
  </si>
  <si>
    <t>Thirdly, selecting a project means 1 and discarding means 0. So use this.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</si>
</sst>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quot;$&quot;#,##0_);\(&quot;$&quot;#,##0\)"/>
    <numFmt numFmtId="166" formatCode="_ * #,##0_ ;_ * \-#,##0_ ;_ * &quot;-&quot;_ ;_ @_ "/>
    <numFmt numFmtId="167" formatCode="_ &quot;₹&quot;\ * #,##0_ ;_ &quot;₹&quot;\ * \-#,##0_ ;_ &quot;₹&quot;\ * &quot;-&quot;_ ;_ @_ "/>
    <numFmt numFmtId="168" formatCode="&quot;$&quot;#,##0_);[Red]\(&quot;$&quot;#,##0\)"/>
  </numFmts>
  <fonts count="14">
    <font>
      <sz val="11.0"/>
      <color theme="1"/>
      <name val="Calibri"/>
      <scheme val="minor"/>
    </font>
    <font>
      <b/>
      <sz val="12.0"/>
      <color rgb="FF000000"/>
      <name val="Calibri"/>
    </font>
    <font>
      <sz val="12.0"/>
      <color rgb="FF000000"/>
      <name val="Calibri"/>
    </font>
    <font>
      <sz val="11.0"/>
      <color theme="1"/>
      <name val="Calibri"/>
    </font>
    <font>
      <sz val="12.0"/>
      <color theme="1"/>
      <name val="Calibri"/>
    </font>
    <font>
      <b/>
      <sz val="14.0"/>
      <color theme="1"/>
      <name val="Calibri"/>
    </font>
    <font>
      <b/>
      <sz val="12.0"/>
      <color theme="1"/>
      <name val="Calibri"/>
    </font>
    <font>
      <b/>
      <sz val="11.0"/>
      <color theme="1"/>
      <name val="Calibri"/>
    </font>
    <font/>
    <font>
      <b/>
      <sz val="12.0"/>
      <color rgb="FFFF0000"/>
      <name val="Calibri"/>
    </font>
    <font>
      <b/>
      <sz val="14.0"/>
      <color rgb="FF000000"/>
      <name val="Calibri"/>
    </font>
    <font>
      <b/>
      <sz val="14.0"/>
      <color rgb="FFFF0000"/>
      <name val="Calibri"/>
    </font>
    <font>
      <color rgb="FFFF0000"/>
      <name val="Calibri"/>
    </font>
    <font>
      <sz val="11.0"/>
      <color rgb="FF000000"/>
      <name val="Calibri"/>
    </font>
  </fonts>
  <fills count="8">
    <fill>
      <patternFill patternType="none"/>
    </fill>
    <fill>
      <patternFill patternType="lightGray"/>
    </fill>
    <fill>
      <patternFill patternType="solid">
        <fgColor rgb="FFFEF2CB"/>
        <bgColor rgb="FFFEF2CB"/>
      </patternFill>
    </fill>
    <fill>
      <patternFill patternType="solid">
        <fgColor rgb="FFD9E2F3"/>
        <bgColor rgb="FFD9E2F3"/>
      </patternFill>
    </fill>
    <fill>
      <patternFill patternType="solid">
        <fgColor theme="0"/>
        <bgColor theme="0"/>
      </patternFill>
    </fill>
    <fill>
      <patternFill patternType="solid">
        <fgColor rgb="FFFFF2CC"/>
        <bgColor rgb="FFFFF2CC"/>
      </patternFill>
    </fill>
    <fill>
      <patternFill patternType="solid">
        <fgColor rgb="FFDDEBF7"/>
        <bgColor rgb="FFDDEBF7"/>
      </patternFill>
    </fill>
    <fill>
      <patternFill patternType="solid">
        <fgColor rgb="FFCFE2F3"/>
        <bgColor rgb="FFCFE2F3"/>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left" readingOrder="1" vertical="center"/>
    </xf>
    <xf borderId="0" fillId="0" fontId="2" numFmtId="0" xfId="0" applyAlignment="1" applyFont="1">
      <alignment horizontal="left" readingOrder="1" vertical="center"/>
    </xf>
    <xf borderId="0" fillId="0" fontId="3" numFmtId="0" xfId="0" applyAlignment="1" applyFont="1">
      <alignment horizontal="center"/>
    </xf>
    <xf borderId="0" fillId="0" fontId="4" numFmtId="0" xfId="0" applyFont="1"/>
    <xf borderId="1" fillId="2" fontId="5" numFmtId="0" xfId="0" applyAlignment="1" applyBorder="1" applyFill="1" applyFont="1">
      <alignment horizontal="center" vertical="center"/>
    </xf>
    <xf borderId="1" fillId="0" fontId="4" numFmtId="0" xfId="0" applyAlignment="1" applyBorder="1" applyFont="1">
      <alignment horizontal="center" vertical="center"/>
    </xf>
    <xf borderId="1" fillId="0" fontId="4" numFmtId="164" xfId="0" applyAlignment="1" applyBorder="1" applyFont="1" applyNumberFormat="1">
      <alignment horizontal="center" vertical="center"/>
    </xf>
    <xf borderId="1" fillId="0" fontId="6" numFmtId="0" xfId="0" applyAlignment="1" applyBorder="1" applyFont="1">
      <alignment horizontal="center" vertical="center"/>
    </xf>
    <xf borderId="1" fillId="0" fontId="7" numFmtId="0" xfId="0" applyAlignment="1" applyBorder="1" applyFont="1">
      <alignment vertical="center"/>
    </xf>
    <xf borderId="1" fillId="0" fontId="6" numFmtId="164" xfId="0" applyAlignment="1" applyBorder="1" applyFont="1" applyNumberFormat="1">
      <alignment horizontal="center" vertical="center"/>
    </xf>
    <xf borderId="1" fillId="3" fontId="5" numFmtId="0" xfId="0" applyAlignment="1" applyBorder="1" applyFill="1" applyFont="1">
      <alignment horizontal="center" vertical="center"/>
    </xf>
    <xf borderId="2" fillId="3" fontId="6" numFmtId="0" xfId="0" applyAlignment="1" applyBorder="1" applyFont="1">
      <alignment horizontal="center" shrinkToFit="0" vertical="center" wrapText="1"/>
    </xf>
    <xf borderId="3" fillId="3" fontId="6" numFmtId="0" xfId="0" applyAlignment="1" applyBorder="1" applyFont="1">
      <alignment horizontal="center" shrinkToFit="0" vertical="center" wrapText="1"/>
    </xf>
    <xf borderId="4" fillId="0" fontId="8" numFmtId="0" xfId="0" applyBorder="1" applyFont="1"/>
    <xf borderId="5" fillId="0" fontId="8" numFmtId="0" xfId="0" applyBorder="1" applyFont="1"/>
    <xf borderId="1" fillId="3" fontId="6" numFmtId="0" xfId="0" applyAlignment="1" applyBorder="1" applyFont="1">
      <alignment horizontal="center" vertical="center"/>
    </xf>
    <xf borderId="1" fillId="0" fontId="4" numFmtId="165" xfId="0" applyAlignment="1" applyBorder="1" applyFont="1" applyNumberFormat="1">
      <alignment horizontal="center" vertical="center"/>
    </xf>
    <xf borderId="6" fillId="0" fontId="8" numFmtId="0" xfId="0" applyBorder="1" applyFont="1"/>
    <xf borderId="1" fillId="3" fontId="6" numFmtId="166" xfId="0" applyAlignment="1" applyBorder="1" applyFont="1" applyNumberFormat="1">
      <alignment horizontal="center" vertical="center"/>
    </xf>
    <xf borderId="1" fillId="4" fontId="4" numFmtId="3" xfId="0" applyAlignment="1" applyBorder="1" applyFill="1" applyFont="1" applyNumberFormat="1">
      <alignment horizontal="center" vertical="center"/>
    </xf>
    <xf borderId="1" fillId="0" fontId="4" numFmtId="3" xfId="0" applyAlignment="1" applyBorder="1" applyFont="1" applyNumberFormat="1">
      <alignment horizontal="center" vertical="center"/>
    </xf>
    <xf borderId="1" fillId="3" fontId="6" numFmtId="3" xfId="0" applyAlignment="1" applyBorder="1" applyFont="1" applyNumberFormat="1">
      <alignment horizontal="center" vertical="center"/>
    </xf>
    <xf borderId="1" fillId="3" fontId="6" numFmtId="38" xfId="0" applyAlignment="1" applyBorder="1" applyFont="1" applyNumberFormat="1">
      <alignment horizontal="center" vertical="center"/>
    </xf>
    <xf borderId="0" fillId="0" fontId="7" numFmtId="0" xfId="0" applyFont="1"/>
    <xf borderId="3" fillId="2" fontId="6" numFmtId="0" xfId="0" applyAlignment="1" applyBorder="1" applyFont="1">
      <alignment horizontal="center" vertical="center"/>
    </xf>
    <xf borderId="1" fillId="0" fontId="7" numFmtId="0" xfId="0" applyAlignment="1" applyBorder="1" applyFont="1">
      <alignment horizontal="center" vertical="center"/>
    </xf>
    <xf borderId="1" fillId="0" fontId="3" numFmtId="0" xfId="0" applyAlignment="1" applyBorder="1" applyFont="1">
      <alignment horizontal="center" vertical="center"/>
    </xf>
    <xf borderId="1" fillId="0" fontId="4" numFmtId="38" xfId="0" applyAlignment="1" applyBorder="1" applyFont="1" applyNumberFormat="1">
      <alignment horizontal="center" vertical="center"/>
    </xf>
    <xf borderId="0" fillId="0" fontId="3" numFmtId="0" xfId="0" applyAlignment="1" applyFont="1">
      <alignment horizontal="center" vertical="center"/>
    </xf>
    <xf borderId="0" fillId="0" fontId="3" numFmtId="38" xfId="0" applyAlignment="1" applyFont="1" applyNumberFormat="1">
      <alignment horizontal="center" vertical="center"/>
    </xf>
    <xf borderId="1" fillId="2" fontId="7" numFmtId="0" xfId="0" applyAlignment="1" applyBorder="1" applyFont="1">
      <alignment horizontal="center" vertical="center"/>
    </xf>
    <xf borderId="1" fillId="0" fontId="4" numFmtId="167" xfId="0" applyAlignment="1" applyBorder="1" applyFont="1" applyNumberFormat="1">
      <alignment horizontal="center" vertical="center"/>
    </xf>
    <xf borderId="1" fillId="0" fontId="5" numFmtId="168" xfId="0" applyAlignment="1" applyBorder="1" applyFont="1" applyNumberFormat="1">
      <alignment horizontal="center" vertical="center"/>
    </xf>
    <xf borderId="0" fillId="0" fontId="9" numFmtId="0" xfId="0" applyFont="1"/>
    <xf borderId="3" fillId="5" fontId="10" numFmtId="0" xfId="0" applyAlignment="1" applyBorder="1" applyFill="1" applyFont="1">
      <alignment horizontal="center" shrinkToFit="0" wrapText="0"/>
    </xf>
    <xf borderId="4" fillId="5" fontId="10" numFmtId="0" xfId="0" applyAlignment="1" applyBorder="1" applyFont="1">
      <alignment horizontal="center" shrinkToFit="0" wrapText="0"/>
    </xf>
    <xf borderId="6" fillId="6" fontId="1" numFmtId="0" xfId="0" applyAlignment="1" applyBorder="1" applyFill="1" applyFont="1">
      <alignment horizontal="center" shrinkToFit="0" wrapText="0"/>
    </xf>
    <xf borderId="7" fillId="6" fontId="1" numFmtId="0" xfId="0" applyAlignment="1" applyBorder="1" applyFont="1">
      <alignment horizontal="center" shrinkToFit="0" wrapText="0"/>
    </xf>
    <xf borderId="6" fillId="0" fontId="2" numFmtId="0" xfId="0" applyAlignment="1" applyBorder="1" applyFont="1">
      <alignment horizontal="center" shrinkToFit="0" wrapText="0"/>
    </xf>
    <xf borderId="7" fillId="0" fontId="2" numFmtId="0" xfId="0" applyAlignment="1" applyBorder="1" applyFont="1">
      <alignment horizontal="center" shrinkToFit="0" wrapText="0"/>
    </xf>
    <xf borderId="7" fillId="0" fontId="2" numFmtId="164" xfId="0" applyAlignment="1" applyBorder="1" applyFont="1" applyNumberFormat="1">
      <alignment horizontal="center" shrinkToFit="0" wrapText="0"/>
    </xf>
    <xf borderId="7" fillId="0" fontId="2" numFmtId="10" xfId="0" applyAlignment="1" applyBorder="1" applyFont="1" applyNumberFormat="1">
      <alignment horizontal="center" shrinkToFit="0" wrapText="0"/>
    </xf>
    <xf borderId="7" fillId="7" fontId="2" numFmtId="0" xfId="0" applyAlignment="1" applyBorder="1" applyFill="1" applyFont="1">
      <alignment horizontal="center" shrinkToFit="0" wrapText="0"/>
    </xf>
    <xf borderId="0" fillId="0" fontId="4" numFmtId="0" xfId="0" applyAlignment="1" applyFont="1">
      <alignment shrinkToFit="0" wrapText="1"/>
    </xf>
    <xf borderId="0" fillId="0" fontId="11" numFmtId="0" xfId="0" applyFont="1"/>
    <xf borderId="0" fillId="0" fontId="12" numFmtId="0" xfId="0" applyFont="1"/>
    <xf borderId="1" fillId="5" fontId="11" numFmtId="0" xfId="0" applyAlignment="1" applyBorder="1" applyFont="1">
      <alignment horizontal="center" shrinkToFit="0" wrapText="0"/>
    </xf>
    <xf borderId="5" fillId="0" fontId="13" numFmtId="0" xfId="0" applyAlignment="1" applyBorder="1" applyFont="1">
      <alignment horizontal="center" shrinkToFit="0" wrapText="0"/>
    </xf>
    <xf borderId="0" fillId="0" fontId="13" numFmtId="0" xfId="0" applyAlignment="1" applyFont="1">
      <alignment shrinkToFit="0" vertical="bottom" wrapText="0"/>
    </xf>
    <xf borderId="0" fillId="0" fontId="13" numFmtId="0" xfId="0" applyAlignment="1" applyFont="1">
      <alignment horizontal="center" shrinkToFit="0" wrapText="0"/>
    </xf>
    <xf borderId="1" fillId="6" fontId="10" numFmtId="0" xfId="0" applyAlignment="1" applyBorder="1" applyFont="1">
      <alignment horizontal="center"/>
    </xf>
    <xf borderId="5" fillId="6" fontId="10" numFmtId="0" xfId="0" applyAlignment="1" applyBorder="1" applyFont="1">
      <alignment horizontal="center" shrinkToFit="0" wrapText="0"/>
    </xf>
    <xf borderId="5" fillId="6" fontId="10" numFmtId="0" xfId="0" applyAlignment="1" applyBorder="1" applyFont="1">
      <alignment horizontal="center"/>
    </xf>
    <xf borderId="0" fillId="0" fontId="2" numFmtId="0" xfId="0" applyAlignment="1" applyFont="1">
      <alignment horizontal="center" shrinkToFit="0" wrapText="0"/>
    </xf>
    <xf borderId="1" fillId="0" fontId="13" numFmtId="0" xfId="0" applyAlignment="1" applyBorder="1" applyFont="1">
      <alignment horizontal="center" shrinkToFit="0" wrapText="0"/>
    </xf>
    <xf borderId="6" fillId="5" fontId="10" numFmtId="0" xfId="0" applyAlignment="1" applyBorder="1" applyFont="1">
      <alignment horizontal="center" shrinkToFit="0" wrapText="0"/>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296650" cy="1190625"/>
    <xdr:sp>
      <xdr:nvSpPr>
        <xdr:cNvPr id="3" name="Shape 3"/>
        <xdr:cNvSpPr txBox="1"/>
      </xdr:nvSpPr>
      <xdr:spPr>
        <a:xfrm>
          <a:off x="0" y="3189450"/>
          <a:ext cx="10692000" cy="11811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b="1" i="0" lang="en-US" sz="1100">
              <a:solidFill>
                <a:schemeClr val="dk1"/>
              </a:solidFill>
              <a:latin typeface="Calibri"/>
              <a:ea typeface="Calibri"/>
              <a:cs typeface="Calibri"/>
              <a:sym typeface="Calibri"/>
            </a:rPr>
            <a:t>Minimize Shipping Cost:</a:t>
          </a:r>
          <a:r>
            <a:rPr b="0" i="0" lang="en-US" sz="1100">
              <a:solidFill>
                <a:schemeClr val="dk1"/>
              </a:solidFill>
              <a:latin typeface="Calibri"/>
              <a:ea typeface="Calibri"/>
              <a:cs typeface="Calibri"/>
              <a:sym typeface="Calibri"/>
            </a:rPr>
            <a:t> A company has warehouses in St. Louis, Los Angeles, and Boston. Six retail outlets are situated all over the United States. These retail outlets take orders from customers. The company then ships products from one of the warehouses. The company aims to supply all six retail locations with the products they require from stock that is currently on hand in the warehouses. While shipping products to outlets, the company wants to keep shipping charges as low as possible.</a:t>
          </a:r>
          <a:endParaRPr sz="1100"/>
        </a:p>
        <a:p>
          <a:pPr indent="0" lvl="0" marL="0" rtl="0" algn="l">
            <a:spcBef>
              <a:spcPts val="0"/>
            </a:spcBef>
            <a:spcAft>
              <a:spcPts val="0"/>
            </a:spcAft>
            <a:buClr>
              <a:schemeClr val="dk1"/>
            </a:buClr>
            <a:buSzPts val="1100"/>
            <a:buFont typeface="Calibri"/>
            <a:buNone/>
          </a:pPr>
          <a:r>
            <a:rPr b="0" i="0" lang="en-US" sz="1100">
              <a:solidFill>
                <a:schemeClr val="dk1"/>
              </a:solidFill>
              <a:latin typeface="Calibri"/>
              <a:ea typeface="Calibri"/>
              <a:cs typeface="Calibri"/>
              <a:sym typeface="Calibri"/>
            </a:rPr>
            <a:t>The first table shows the shipping costs from one port to another. Then, the second table shows the product requirement for each port. After that, there is a table that contains the information about the warehouse inventory. Your task is to find the values using the solver that will minimize the shipping costs from the warehouses to the outlets.</a:t>
          </a:r>
          <a:endParaRPr sz="1100"/>
        </a:p>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7.57"/>
    <col customWidth="1" min="3" max="3" width="13.14"/>
    <col customWidth="1" min="4" max="4" width="13.71"/>
    <col customWidth="1" min="5" max="5" width="14.0"/>
    <col customWidth="1" min="6" max="26" width="8.71"/>
  </cols>
  <sheetData>
    <row r="1" ht="14.25" customHeight="1"/>
    <row r="2" ht="14.25" customHeight="1">
      <c r="B2" s="1" t="s">
        <v>0</v>
      </c>
    </row>
    <row r="3" ht="14.25" customHeight="1">
      <c r="B3" s="2" t="s">
        <v>1</v>
      </c>
      <c r="C3" s="3"/>
      <c r="D3" s="3"/>
      <c r="E3" s="3"/>
    </row>
    <row r="4" ht="14.25" customHeight="1">
      <c r="B4" s="2" t="s">
        <v>2</v>
      </c>
      <c r="C4" s="3"/>
    </row>
    <row r="5" ht="14.25" customHeight="1">
      <c r="B5" s="2" t="s">
        <v>3</v>
      </c>
    </row>
    <row r="6" ht="14.25" customHeight="1">
      <c r="B6" s="2" t="s">
        <v>4</v>
      </c>
    </row>
    <row r="7" ht="14.25" customHeight="1">
      <c r="B7" s="4" t="s">
        <v>5</v>
      </c>
    </row>
    <row r="8" ht="14.25" customHeight="1"/>
    <row r="9" ht="14.25" customHeight="1">
      <c r="B9" s="5" t="s">
        <v>6</v>
      </c>
      <c r="C9" s="5" t="s">
        <v>7</v>
      </c>
      <c r="D9" s="5" t="s">
        <v>8</v>
      </c>
      <c r="E9" s="5" t="s">
        <v>9</v>
      </c>
    </row>
    <row r="10" ht="14.25" customHeight="1">
      <c r="B10" s="6" t="s">
        <v>10</v>
      </c>
      <c r="C10" s="6">
        <v>25.0</v>
      </c>
      <c r="D10" s="7">
        <v>13.0</v>
      </c>
      <c r="E10" s="7"/>
    </row>
    <row r="11" ht="14.25" customHeight="1">
      <c r="B11" s="6" t="s">
        <v>11</v>
      </c>
      <c r="C11" s="6">
        <v>25.0</v>
      </c>
      <c r="D11" s="7">
        <v>18.0</v>
      </c>
      <c r="E11" s="7"/>
    </row>
    <row r="12" ht="14.25" customHeight="1">
      <c r="B12" s="6" t="s">
        <v>12</v>
      </c>
      <c r="C12" s="6">
        <v>25.0</v>
      </c>
      <c r="D12" s="7">
        <v>22.0</v>
      </c>
      <c r="E12" s="7"/>
    </row>
    <row r="13" ht="14.25" customHeight="1">
      <c r="B13" s="6" t="s">
        <v>13</v>
      </c>
      <c r="C13" s="6">
        <v>5.0</v>
      </c>
      <c r="D13" s="7">
        <v>17.0</v>
      </c>
      <c r="E13" s="7"/>
    </row>
    <row r="14" ht="14.25" customHeight="1">
      <c r="B14" s="6" t="s">
        <v>14</v>
      </c>
      <c r="C14" s="6">
        <v>5.0</v>
      </c>
      <c r="D14" s="7">
        <v>3.0</v>
      </c>
      <c r="E14" s="7"/>
    </row>
    <row r="15" ht="14.25" customHeight="1">
      <c r="B15" s="6" t="s">
        <v>15</v>
      </c>
      <c r="C15" s="6">
        <v>5.0</v>
      </c>
      <c r="D15" s="7">
        <v>9.0</v>
      </c>
      <c r="E15" s="7"/>
    </row>
    <row r="16" ht="14.25" customHeight="1">
      <c r="B16" s="6" t="s">
        <v>16</v>
      </c>
      <c r="C16" s="6">
        <v>5.0</v>
      </c>
      <c r="D16" s="7">
        <v>2.0</v>
      </c>
      <c r="E16" s="7"/>
    </row>
    <row r="17" ht="14.25" customHeight="1">
      <c r="B17" s="6" t="s">
        <v>17</v>
      </c>
      <c r="C17" s="6">
        <v>5.0</v>
      </c>
      <c r="D17" s="7">
        <v>2.5</v>
      </c>
      <c r="E17" s="7"/>
    </row>
    <row r="18" ht="14.25" customHeight="1">
      <c r="B18" s="6" t="s">
        <v>18</v>
      </c>
      <c r="C18" s="6">
        <v>5.0</v>
      </c>
      <c r="D18" s="7">
        <v>11.0</v>
      </c>
      <c r="E18" s="7"/>
    </row>
    <row r="19" ht="14.25" customHeight="1">
      <c r="B19" s="6" t="s">
        <v>19</v>
      </c>
      <c r="C19" s="6">
        <v>4.0</v>
      </c>
      <c r="D19" s="7">
        <v>2.0</v>
      </c>
      <c r="E19" s="7"/>
    </row>
    <row r="20" ht="14.25" customHeight="1">
      <c r="B20" s="6" t="s">
        <v>20</v>
      </c>
      <c r="C20" s="6">
        <v>4.0</v>
      </c>
      <c r="D20" s="7">
        <v>12.0</v>
      </c>
      <c r="E20" s="7"/>
    </row>
    <row r="21" ht="14.25" customHeight="1">
      <c r="B21" s="6" t="s">
        <v>21</v>
      </c>
      <c r="C21" s="6">
        <v>3.0</v>
      </c>
      <c r="D21" s="7">
        <v>3.0</v>
      </c>
      <c r="E21" s="7"/>
    </row>
    <row r="22" ht="14.25" customHeight="1">
      <c r="B22" s="6" t="s">
        <v>22</v>
      </c>
      <c r="C22" s="6">
        <v>2.0</v>
      </c>
      <c r="D22" s="7">
        <v>12.0</v>
      </c>
      <c r="E22" s="7"/>
    </row>
    <row r="23" ht="14.25" customHeight="1">
      <c r="B23" s="6" t="s">
        <v>23</v>
      </c>
      <c r="C23" s="6">
        <v>5.0</v>
      </c>
      <c r="D23" s="7">
        <v>6.0</v>
      </c>
      <c r="E23" s="7"/>
    </row>
    <row r="24" ht="14.25" customHeight="1">
      <c r="B24" s="6" t="s">
        <v>24</v>
      </c>
      <c r="C24" s="6">
        <v>23.0</v>
      </c>
      <c r="D24" s="7">
        <v>5.0</v>
      </c>
      <c r="E24" s="7"/>
    </row>
    <row r="25" ht="14.25" customHeight="1">
      <c r="B25" s="6" t="s">
        <v>25</v>
      </c>
      <c r="C25" s="6">
        <v>3.0</v>
      </c>
      <c r="D25" s="7">
        <v>13.0</v>
      </c>
      <c r="E25" s="7"/>
    </row>
    <row r="26" ht="14.25" customHeight="1">
      <c r="B26" s="6" t="s">
        <v>26</v>
      </c>
      <c r="C26" s="6">
        <v>2.0</v>
      </c>
      <c r="D26" s="7">
        <v>11.0</v>
      </c>
      <c r="E26" s="7"/>
    </row>
    <row r="27" ht="14.25" customHeight="1">
      <c r="B27" s="8" t="s">
        <v>27</v>
      </c>
      <c r="C27" s="8">
        <f>SUM(C10:C26)</f>
        <v>151</v>
      </c>
      <c r="D27" s="9" t="s">
        <v>28</v>
      </c>
      <c r="E27" s="10"/>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43"/>
    <col customWidth="1" min="3" max="3" width="8.71"/>
    <col customWidth="1" min="4" max="4" width="12.0"/>
    <col customWidth="1" min="5" max="5" width="12.86"/>
    <col customWidth="1" min="6" max="6" width="12.14"/>
    <col customWidth="1" min="7" max="7" width="12.43"/>
    <col customWidth="1" min="8" max="12" width="8.71"/>
    <col customWidth="1" min="13" max="13" width="14.0"/>
    <col customWidth="1" min="14" max="26" width="8.71"/>
  </cols>
  <sheetData>
    <row r="1" ht="14.25" customHeight="1">
      <c r="A1" s="1"/>
    </row>
    <row r="2" ht="14.25" customHeight="1">
      <c r="A2" s="2"/>
    </row>
    <row r="3" ht="14.25" customHeight="1"/>
    <row r="4" ht="14.25" customHeight="1"/>
    <row r="5" ht="14.25" customHeight="1"/>
    <row r="6" ht="14.25" customHeight="1"/>
    <row r="7" ht="14.25" customHeight="1"/>
    <row r="8" ht="14.25" customHeight="1"/>
    <row r="9" ht="14.25" customHeight="1">
      <c r="B9" s="11" t="s">
        <v>29</v>
      </c>
      <c r="C9" s="11" t="s">
        <v>30</v>
      </c>
      <c r="D9" s="11" t="s">
        <v>31</v>
      </c>
      <c r="E9" s="11" t="s">
        <v>32</v>
      </c>
      <c r="H9" s="12" t="s">
        <v>33</v>
      </c>
      <c r="I9" s="12" t="s">
        <v>34</v>
      </c>
      <c r="J9" s="13" t="s">
        <v>35</v>
      </c>
      <c r="K9" s="14"/>
      <c r="L9" s="15"/>
      <c r="M9" s="12" t="s">
        <v>36</v>
      </c>
    </row>
    <row r="10" ht="14.25" customHeight="1">
      <c r="B10" s="16" t="s">
        <v>37</v>
      </c>
      <c r="C10" s="17">
        <v>58.0</v>
      </c>
      <c r="D10" s="17">
        <v>47.0</v>
      </c>
      <c r="E10" s="17">
        <v>108.0</v>
      </c>
      <c r="H10" s="18"/>
      <c r="I10" s="18"/>
      <c r="J10" s="19" t="s">
        <v>30</v>
      </c>
      <c r="K10" s="19" t="s">
        <v>31</v>
      </c>
      <c r="L10" s="19" t="s">
        <v>32</v>
      </c>
      <c r="M10" s="18"/>
    </row>
    <row r="11" ht="14.25" customHeight="1">
      <c r="B11" s="16" t="s">
        <v>38</v>
      </c>
      <c r="C11" s="17">
        <v>87.0</v>
      </c>
      <c r="D11" s="17">
        <v>46.0</v>
      </c>
      <c r="E11" s="17">
        <v>100.0</v>
      </c>
      <c r="H11" s="6" t="s">
        <v>37</v>
      </c>
      <c r="I11" s="6">
        <v>150.0</v>
      </c>
      <c r="J11" s="20"/>
      <c r="K11" s="20"/>
      <c r="L11" s="20"/>
      <c r="M11" s="21">
        <f t="shared" ref="M11:M16" si="1">SUM(J11:L11)</f>
        <v>0</v>
      </c>
    </row>
    <row r="12" ht="14.25" customHeight="1">
      <c r="B12" s="16" t="s">
        <v>39</v>
      </c>
      <c r="C12" s="17">
        <v>121.0</v>
      </c>
      <c r="D12" s="17">
        <v>30.0</v>
      </c>
      <c r="E12" s="17">
        <v>57.0</v>
      </c>
      <c r="H12" s="6" t="s">
        <v>38</v>
      </c>
      <c r="I12" s="6">
        <v>225.0</v>
      </c>
      <c r="J12" s="20"/>
      <c r="K12" s="20"/>
      <c r="L12" s="20"/>
      <c r="M12" s="21">
        <f t="shared" si="1"/>
        <v>0</v>
      </c>
    </row>
    <row r="13" ht="14.25" customHeight="1">
      <c r="B13" s="16" t="s">
        <v>40</v>
      </c>
      <c r="C13" s="17">
        <v>149.0</v>
      </c>
      <c r="D13" s="17">
        <v>66.0</v>
      </c>
      <c r="E13" s="17">
        <v>83.0</v>
      </c>
      <c r="H13" s="6" t="s">
        <v>39</v>
      </c>
      <c r="I13" s="6">
        <v>100.0</v>
      </c>
      <c r="J13" s="20"/>
      <c r="K13" s="20"/>
      <c r="L13" s="20"/>
      <c r="M13" s="21">
        <f t="shared" si="1"/>
        <v>0</v>
      </c>
    </row>
    <row r="14" ht="14.25" customHeight="1">
      <c r="B14" s="16" t="s">
        <v>41</v>
      </c>
      <c r="C14" s="17">
        <v>62.0</v>
      </c>
      <c r="D14" s="17">
        <v>115.0</v>
      </c>
      <c r="E14" s="17">
        <v>164.0</v>
      </c>
      <c r="H14" s="6" t="s">
        <v>40</v>
      </c>
      <c r="I14" s="6">
        <v>250.0</v>
      </c>
      <c r="J14" s="20"/>
      <c r="K14" s="20"/>
      <c r="L14" s="20"/>
      <c r="M14" s="21">
        <f t="shared" si="1"/>
        <v>0</v>
      </c>
    </row>
    <row r="15" ht="14.25" customHeight="1">
      <c r="B15" s="16" t="s">
        <v>42</v>
      </c>
      <c r="C15" s="17">
        <v>128.0</v>
      </c>
      <c r="D15" s="17">
        <v>28.0</v>
      </c>
      <c r="E15" s="17">
        <v>38.0</v>
      </c>
      <c r="H15" s="6" t="s">
        <v>41</v>
      </c>
      <c r="I15" s="6">
        <v>120.0</v>
      </c>
      <c r="J15" s="20"/>
      <c r="K15" s="20"/>
      <c r="L15" s="20"/>
      <c r="M15" s="21">
        <f t="shared" si="1"/>
        <v>0</v>
      </c>
    </row>
    <row r="16" ht="14.25" customHeight="1">
      <c r="H16" s="6" t="s">
        <v>42</v>
      </c>
      <c r="I16" s="6">
        <v>150.0</v>
      </c>
      <c r="J16" s="20"/>
      <c r="K16" s="20"/>
      <c r="L16" s="20"/>
      <c r="M16" s="21">
        <f t="shared" si="1"/>
        <v>0</v>
      </c>
    </row>
    <row r="17" ht="14.25" customHeight="1">
      <c r="H17" s="16" t="s">
        <v>27</v>
      </c>
      <c r="I17" s="16">
        <f t="shared" ref="I17:M17" si="2">SUM(I11:I16)</f>
        <v>995</v>
      </c>
      <c r="J17" s="22">
        <f t="shared" si="2"/>
        <v>0</v>
      </c>
      <c r="K17" s="22">
        <f t="shared" si="2"/>
        <v>0</v>
      </c>
      <c r="L17" s="22">
        <f t="shared" si="2"/>
        <v>0</v>
      </c>
      <c r="M17" s="23">
        <f t="shared" si="2"/>
        <v>0</v>
      </c>
    </row>
    <row r="18" ht="14.25" customHeight="1"/>
    <row r="19" ht="14.25" customHeight="1">
      <c r="B19" s="24"/>
    </row>
    <row r="20" ht="14.25" customHeight="1"/>
    <row r="21" ht="14.25" customHeight="1">
      <c r="B21" s="25" t="s">
        <v>43</v>
      </c>
      <c r="C21" s="14"/>
      <c r="D21" s="14"/>
      <c r="E21" s="14"/>
      <c r="F21" s="14"/>
      <c r="G21" s="15"/>
    </row>
    <row r="22" ht="14.25" customHeight="1">
      <c r="B22" s="26" t="s">
        <v>44</v>
      </c>
      <c r="C22" s="27"/>
      <c r="D22" s="6">
        <v>400.0</v>
      </c>
      <c r="E22" s="6">
        <v>350.0</v>
      </c>
      <c r="F22" s="6">
        <v>500.0</v>
      </c>
      <c r="G22" s="27"/>
    </row>
    <row r="23" ht="14.25" customHeight="1">
      <c r="B23" s="26" t="s">
        <v>45</v>
      </c>
      <c r="C23" s="27"/>
      <c r="D23" s="28">
        <f t="shared" ref="D23:F23" si="3">D22-J17</f>
        <v>400</v>
      </c>
      <c r="E23" s="28">
        <f t="shared" si="3"/>
        <v>350</v>
      </c>
      <c r="F23" s="28">
        <f t="shared" si="3"/>
        <v>500</v>
      </c>
      <c r="G23" s="27"/>
    </row>
    <row r="24" ht="14.25" customHeight="1">
      <c r="B24" s="29"/>
      <c r="C24" s="29"/>
      <c r="D24" s="30"/>
      <c r="E24" s="30"/>
      <c r="F24" s="30"/>
      <c r="G24" s="29"/>
    </row>
    <row r="25" ht="14.25" customHeight="1">
      <c r="B25" s="31" t="s">
        <v>46</v>
      </c>
      <c r="C25" s="27"/>
      <c r="D25" s="32">
        <f t="shared" ref="D25:F25" si="4">SUMPRODUCT(C10:C15,J11:J16)</f>
        <v>0</v>
      </c>
      <c r="E25" s="32">
        <f t="shared" si="4"/>
        <v>0</v>
      </c>
      <c r="F25" s="32">
        <f t="shared" si="4"/>
        <v>0</v>
      </c>
      <c r="G25" s="33">
        <f>SUM(D25:F25)</f>
        <v>0</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H9:H10"/>
    <mergeCell ref="I9:I10"/>
    <mergeCell ref="J9:L9"/>
    <mergeCell ref="M9:M10"/>
    <mergeCell ref="B21:G2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4" t="s">
        <v>47</v>
      </c>
    </row>
    <row r="3">
      <c r="A3" s="35" t="s">
        <v>48</v>
      </c>
      <c r="B3" s="14"/>
      <c r="C3" s="14"/>
      <c r="D3" s="14"/>
      <c r="E3" s="14"/>
      <c r="F3" s="15"/>
      <c r="G3" s="36" t="s">
        <v>49</v>
      </c>
      <c r="H3" s="14"/>
      <c r="I3" s="15"/>
    </row>
    <row r="4">
      <c r="A4" s="37" t="s">
        <v>50</v>
      </c>
      <c r="B4" s="38" t="s">
        <v>51</v>
      </c>
      <c r="C4" s="38" t="s">
        <v>52</v>
      </c>
      <c r="D4" s="38" t="s">
        <v>53</v>
      </c>
      <c r="E4" s="38" t="s">
        <v>54</v>
      </c>
      <c r="F4" s="38" t="s">
        <v>55</v>
      </c>
      <c r="G4" s="38" t="s">
        <v>56</v>
      </c>
      <c r="H4" s="38" t="s">
        <v>51</v>
      </c>
      <c r="I4" s="38" t="s">
        <v>55</v>
      </c>
    </row>
    <row r="5">
      <c r="A5" s="39" t="s">
        <v>57</v>
      </c>
      <c r="B5" s="40">
        <v>6000.0</v>
      </c>
      <c r="C5" s="40">
        <v>15.37</v>
      </c>
      <c r="D5" s="41">
        <v>92220.0</v>
      </c>
      <c r="E5" s="42">
        <v>0.0246</v>
      </c>
      <c r="F5" s="40">
        <v>148.0</v>
      </c>
      <c r="G5" s="40">
        <v>0.0</v>
      </c>
      <c r="H5" s="40">
        <v>0.0</v>
      </c>
      <c r="I5" s="40">
        <v>0.0</v>
      </c>
    </row>
    <row r="6">
      <c r="A6" s="39" t="s">
        <v>58</v>
      </c>
      <c r="B6" s="40">
        <v>9000.0</v>
      </c>
      <c r="C6" s="40">
        <v>16.0</v>
      </c>
      <c r="D6" s="40" t="s">
        <v>59</v>
      </c>
      <c r="E6" s="42">
        <v>0.0217</v>
      </c>
      <c r="F6" s="40">
        <v>195.0</v>
      </c>
      <c r="G6" s="40">
        <v>0.0</v>
      </c>
      <c r="H6" s="40">
        <v>0.0</v>
      </c>
      <c r="I6" s="40">
        <v>0.0</v>
      </c>
    </row>
    <row r="7">
      <c r="A7" s="39" t="s">
        <v>60</v>
      </c>
      <c r="B7" s="40">
        <v>4000.0</v>
      </c>
      <c r="C7" s="40">
        <v>15.9</v>
      </c>
      <c r="D7" s="41">
        <v>63600.0</v>
      </c>
      <c r="E7" s="42">
        <v>0.0213</v>
      </c>
      <c r="F7" s="40">
        <v>85.0</v>
      </c>
      <c r="G7" s="40">
        <v>0.0</v>
      </c>
      <c r="H7" s="40">
        <v>0.0</v>
      </c>
      <c r="I7" s="40">
        <v>0.0</v>
      </c>
    </row>
    <row r="8">
      <c r="A8" s="39" t="s">
        <v>61</v>
      </c>
      <c r="B8" s="40">
        <v>5000.0</v>
      </c>
      <c r="C8" s="40">
        <v>12.0</v>
      </c>
      <c r="D8" s="41">
        <v>60000.0</v>
      </c>
      <c r="E8" s="42">
        <v>0.021</v>
      </c>
      <c r="F8" s="40">
        <v>105.0</v>
      </c>
      <c r="G8" s="40">
        <v>0.0</v>
      </c>
      <c r="H8" s="40">
        <v>0.0</v>
      </c>
      <c r="I8" s="40">
        <v>0.0</v>
      </c>
    </row>
    <row r="9">
      <c r="A9" s="39" t="s">
        <v>62</v>
      </c>
      <c r="B9" s="40">
        <v>4000.0</v>
      </c>
      <c r="C9" s="40">
        <v>17.0</v>
      </c>
      <c r="D9" s="41">
        <v>68000.0</v>
      </c>
      <c r="E9" s="42">
        <v>0.0257</v>
      </c>
      <c r="F9" s="40">
        <v>103.0</v>
      </c>
      <c r="G9" s="40">
        <v>0.0</v>
      </c>
      <c r="H9" s="40">
        <v>0.0</v>
      </c>
      <c r="I9" s="40">
        <v>0.0</v>
      </c>
    </row>
    <row r="10">
      <c r="A10" s="39" t="s">
        <v>63</v>
      </c>
      <c r="B10" s="40">
        <v>7000.0</v>
      </c>
      <c r="C10" s="40">
        <v>15.8</v>
      </c>
      <c r="D10" s="40" t="s">
        <v>64</v>
      </c>
      <c r="E10" s="42">
        <v>0.0233</v>
      </c>
      <c r="F10" s="40">
        <v>163.0</v>
      </c>
      <c r="G10" s="40">
        <v>0.0</v>
      </c>
      <c r="H10" s="40">
        <v>0.0</v>
      </c>
      <c r="I10" s="40">
        <v>0.0</v>
      </c>
    </row>
    <row r="11">
      <c r="A11" s="39" t="s">
        <v>65</v>
      </c>
      <c r="B11" s="40">
        <v>3500.0</v>
      </c>
      <c r="C11" s="40">
        <v>14.3</v>
      </c>
      <c r="D11" s="41">
        <v>50050.0</v>
      </c>
      <c r="E11" s="42">
        <v>0.0199</v>
      </c>
      <c r="F11" s="40">
        <v>70.0</v>
      </c>
      <c r="G11" s="40">
        <v>0.0</v>
      </c>
      <c r="H11" s="40">
        <v>0.0</v>
      </c>
      <c r="I11" s="40">
        <v>0.0</v>
      </c>
    </row>
    <row r="12">
      <c r="A12" s="39" t="s">
        <v>66</v>
      </c>
      <c r="B12" s="40">
        <v>1700.0</v>
      </c>
      <c r="C12" s="40">
        <v>15.2</v>
      </c>
      <c r="D12" s="41">
        <v>25840.0</v>
      </c>
      <c r="E12" s="42">
        <v>0.0217</v>
      </c>
      <c r="F12" s="40">
        <v>37.0</v>
      </c>
      <c r="G12" s="40">
        <v>0.0</v>
      </c>
      <c r="H12" s="40">
        <v>0.0</v>
      </c>
      <c r="I12" s="40">
        <v>0.0</v>
      </c>
    </row>
    <row r="13">
      <c r="A13" s="39" t="s">
        <v>67</v>
      </c>
      <c r="B13" s="40">
        <v>1900.0</v>
      </c>
      <c r="C13" s="40">
        <v>10.5</v>
      </c>
      <c r="D13" s="41">
        <v>19950.0</v>
      </c>
      <c r="E13" s="42">
        <v>0.022</v>
      </c>
      <c r="F13" s="40">
        <v>42.0</v>
      </c>
      <c r="G13" s="40">
        <v>0.0</v>
      </c>
      <c r="H13" s="40">
        <v>0.0</v>
      </c>
      <c r="I13" s="40">
        <v>0.0</v>
      </c>
    </row>
    <row r="14">
      <c r="A14" s="39" t="s">
        <v>68</v>
      </c>
      <c r="B14" s="40">
        <v>2100.0</v>
      </c>
      <c r="C14" s="40">
        <v>11.8</v>
      </c>
      <c r="D14" s="41">
        <v>24780.0</v>
      </c>
      <c r="E14" s="42">
        <v>0.021</v>
      </c>
      <c r="F14" s="40">
        <v>44.0</v>
      </c>
      <c r="G14" s="40">
        <v>0.0</v>
      </c>
      <c r="H14" s="40">
        <v>0.0</v>
      </c>
      <c r="I14" s="40">
        <v>0.0</v>
      </c>
    </row>
    <row r="15">
      <c r="A15" s="39" t="s">
        <v>69</v>
      </c>
      <c r="B15" s="40">
        <v>4530.0</v>
      </c>
      <c r="C15" s="40">
        <v>12.5</v>
      </c>
      <c r="D15" s="41">
        <v>56625.0</v>
      </c>
      <c r="E15" s="42">
        <v>0.0201</v>
      </c>
      <c r="F15" s="40">
        <v>91.0</v>
      </c>
      <c r="G15" s="40">
        <v>0.0</v>
      </c>
      <c r="H15" s="40">
        <v>0.0</v>
      </c>
      <c r="I15" s="40">
        <v>0.0</v>
      </c>
    </row>
    <row r="16">
      <c r="A16" s="39" t="s">
        <v>70</v>
      </c>
      <c r="B16" s="40">
        <v>700.0</v>
      </c>
      <c r="C16" s="40">
        <v>7.0</v>
      </c>
      <c r="D16" s="41">
        <v>4900.0</v>
      </c>
      <c r="E16" s="42">
        <v>0.0198</v>
      </c>
      <c r="F16" s="40">
        <v>14.0</v>
      </c>
      <c r="G16" s="40">
        <v>0.0</v>
      </c>
      <c r="H16" s="40">
        <v>0.0</v>
      </c>
      <c r="I16" s="40">
        <v>0.0</v>
      </c>
    </row>
    <row r="17">
      <c r="A17" s="39" t="s">
        <v>27</v>
      </c>
      <c r="B17" s="40">
        <v>49430.0</v>
      </c>
      <c r="C17" s="40"/>
      <c r="D17" s="40" t="s">
        <v>71</v>
      </c>
      <c r="E17" s="40"/>
      <c r="F17" s="40">
        <v>1096.0</v>
      </c>
      <c r="G17" s="40">
        <v>0.0</v>
      </c>
      <c r="H17" s="40">
        <v>0.0</v>
      </c>
      <c r="I17" s="43">
        <v>0.0</v>
      </c>
    </row>
    <row r="19">
      <c r="A19" s="44" t="s">
        <v>72</v>
      </c>
    </row>
  </sheetData>
  <mergeCells count="3">
    <mergeCell ref="A3:F3"/>
    <mergeCell ref="G3:I3"/>
    <mergeCell ref="A19:I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43"/>
    <col customWidth="1" min="2" max="2" width="23.14"/>
    <col customWidth="1" min="3" max="3" width="21.86"/>
    <col customWidth="1" min="4" max="5" width="20.29"/>
  </cols>
  <sheetData>
    <row r="2">
      <c r="A2" s="45" t="s">
        <v>73</v>
      </c>
    </row>
    <row r="3">
      <c r="A3" s="46"/>
    </row>
    <row r="4">
      <c r="A4" s="47" t="s">
        <v>74</v>
      </c>
      <c r="B4" s="48" t="s">
        <v>75</v>
      </c>
      <c r="C4" s="49"/>
      <c r="D4" s="50"/>
      <c r="E4" s="50"/>
    </row>
    <row r="5">
      <c r="A5" s="50"/>
      <c r="B5" s="50"/>
      <c r="C5" s="50"/>
      <c r="D5" s="50"/>
      <c r="E5" s="50"/>
    </row>
    <row r="6">
      <c r="A6" s="51" t="s">
        <v>76</v>
      </c>
      <c r="B6" s="52" t="s">
        <v>77</v>
      </c>
      <c r="C6" s="52" t="s">
        <v>78</v>
      </c>
      <c r="D6" s="53" t="s">
        <v>79</v>
      </c>
      <c r="E6" s="53" t="s">
        <v>80</v>
      </c>
    </row>
    <row r="7">
      <c r="A7" s="39">
        <v>1.0</v>
      </c>
      <c r="B7" s="40" t="s">
        <v>81</v>
      </c>
      <c r="C7" s="40" t="s">
        <v>82</v>
      </c>
      <c r="D7" s="40" t="s">
        <v>83</v>
      </c>
      <c r="E7" s="40" t="s">
        <v>84</v>
      </c>
    </row>
    <row r="8">
      <c r="A8" s="39">
        <v>0.0</v>
      </c>
      <c r="B8" s="40" t="s">
        <v>85</v>
      </c>
      <c r="C8" s="40" t="s">
        <v>86</v>
      </c>
      <c r="D8" s="40" t="s">
        <v>87</v>
      </c>
      <c r="E8" s="40" t="s">
        <v>88</v>
      </c>
    </row>
    <row r="9">
      <c r="A9" s="39">
        <v>1.0</v>
      </c>
      <c r="B9" s="40" t="s">
        <v>89</v>
      </c>
      <c r="C9" s="40" t="s">
        <v>86</v>
      </c>
      <c r="D9" s="40" t="s">
        <v>90</v>
      </c>
      <c r="E9" s="40" t="s">
        <v>90</v>
      </c>
    </row>
    <row r="10">
      <c r="A10" s="39">
        <v>1.0</v>
      </c>
      <c r="B10" s="40" t="s">
        <v>91</v>
      </c>
      <c r="C10" s="40" t="s">
        <v>92</v>
      </c>
      <c r="D10" s="40" t="s">
        <v>90</v>
      </c>
      <c r="E10" s="40" t="s">
        <v>93</v>
      </c>
    </row>
    <row r="11">
      <c r="A11" s="39">
        <v>0.0</v>
      </c>
      <c r="B11" s="40" t="s">
        <v>94</v>
      </c>
      <c r="C11" s="40" t="s">
        <v>95</v>
      </c>
      <c r="D11" s="40" t="s">
        <v>96</v>
      </c>
      <c r="E11" s="40" t="s">
        <v>97</v>
      </c>
    </row>
    <row r="12">
      <c r="A12" s="39">
        <v>1.0</v>
      </c>
      <c r="B12" s="40" t="s">
        <v>98</v>
      </c>
      <c r="C12" s="40" t="s">
        <v>83</v>
      </c>
      <c r="D12" s="40" t="s">
        <v>90</v>
      </c>
      <c r="E12" s="40" t="s">
        <v>90</v>
      </c>
    </row>
    <row r="13">
      <c r="A13" s="39">
        <v>0.0</v>
      </c>
      <c r="B13" s="40" t="s">
        <v>99</v>
      </c>
      <c r="C13" s="40" t="s">
        <v>82</v>
      </c>
      <c r="D13" s="40" t="s">
        <v>100</v>
      </c>
      <c r="E13" s="40" t="s">
        <v>101</v>
      </c>
    </row>
    <row r="14">
      <c r="A14" s="39">
        <v>0.0</v>
      </c>
      <c r="B14" s="40" t="s">
        <v>102</v>
      </c>
      <c r="C14" s="40" t="s">
        <v>103</v>
      </c>
      <c r="D14" s="40" t="s">
        <v>104</v>
      </c>
      <c r="E14" s="40" t="s">
        <v>84</v>
      </c>
    </row>
    <row r="15">
      <c r="A15" s="39">
        <v>1.0</v>
      </c>
      <c r="B15" s="40" t="s">
        <v>105</v>
      </c>
      <c r="C15" s="40" t="s">
        <v>83</v>
      </c>
      <c r="D15" s="40" t="s">
        <v>106</v>
      </c>
      <c r="E15" s="40" t="s">
        <v>84</v>
      </c>
    </row>
    <row r="16">
      <c r="A16" s="54"/>
      <c r="B16" s="54"/>
      <c r="C16" s="54"/>
      <c r="D16" s="54"/>
      <c r="E16" s="54"/>
    </row>
    <row r="17">
      <c r="A17" s="55"/>
      <c r="B17" s="48" t="s">
        <v>107</v>
      </c>
      <c r="C17" s="48" t="s">
        <v>108</v>
      </c>
      <c r="D17" s="50"/>
      <c r="E17" s="50"/>
    </row>
    <row r="18">
      <c r="A18" s="56" t="s">
        <v>109</v>
      </c>
      <c r="B18" s="40" t="s">
        <v>100</v>
      </c>
      <c r="C18" s="40" t="s">
        <v>110</v>
      </c>
      <c r="D18" s="49"/>
      <c r="E18" s="49"/>
    </row>
    <row r="19">
      <c r="A19" s="56" t="s">
        <v>111</v>
      </c>
      <c r="B19" s="40" t="s">
        <v>112</v>
      </c>
      <c r="C19" s="40" t="s">
        <v>110</v>
      </c>
      <c r="D19" s="49"/>
      <c r="E19" s="49"/>
    </row>
    <row r="22">
      <c r="A22" s="57" t="s">
        <v>113</v>
      </c>
      <c r="B22" s="58"/>
      <c r="C22" s="58"/>
      <c r="D22" s="58"/>
      <c r="E22" s="58"/>
      <c r="F22" s="58"/>
    </row>
    <row r="23">
      <c r="A23" s="57" t="s">
        <v>114</v>
      </c>
      <c r="B23" s="58"/>
      <c r="C23" s="58"/>
      <c r="D23" s="58"/>
      <c r="E23" s="58"/>
      <c r="F23" s="58"/>
    </row>
    <row r="24">
      <c r="A24" s="57" t="s">
        <v>115</v>
      </c>
      <c r="B24" s="58"/>
      <c r="C24" s="58"/>
      <c r="D24" s="58"/>
      <c r="E24" s="58"/>
      <c r="F24" s="58"/>
    </row>
    <row r="25">
      <c r="A25" s="57" t="s">
        <v>116</v>
      </c>
      <c r="B25" s="58"/>
      <c r="C25" s="58"/>
      <c r="D25" s="58"/>
      <c r="E25" s="58"/>
      <c r="F25" s="58"/>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2023-03-08T14:05:34Z</dcterms:created>
  <dc:creator>Hi</dc:creator>
</cp:coreProperties>
</file>