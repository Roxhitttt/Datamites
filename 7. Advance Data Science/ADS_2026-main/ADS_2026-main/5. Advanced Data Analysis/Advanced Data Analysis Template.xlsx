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udy\Datamites\9. Advance Data Science\ADS_2026-main\ADS_2026-main\5. Advanced Data Analysis\"/>
    </mc:Choice>
  </mc:AlternateContent>
  <xr:revisionPtr revIDLastSave="0" documentId="13_ncr:1_{789BFBEC-C06A-4661-9FC8-30EEFAE1983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escriptive analysis" sheetId="1" r:id="rId1"/>
    <sheet name="Vertical Data" sheetId="4" r:id="rId2"/>
    <sheet name="solver optimization" sheetId="7" r:id="rId3"/>
    <sheet name="Regression Analysis output" sheetId="9" r:id="rId4"/>
    <sheet name="regression" sheetId="8" r:id="rId5"/>
    <sheet name="hlookup" sheetId="6" r:id="rId6"/>
  </sheets>
  <definedNames>
    <definedName name="solver_adj" localSheetId="2" hidden="1">'solver optimization'!$C$7:$C$9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'solver optimization'!$C$7:$C$9</definedName>
    <definedName name="solver_lhs2" localSheetId="2" hidden="1">'solver optimization'!$C$7:$C$9</definedName>
    <definedName name="solver_lhs3" localSheetId="2" hidden="1">'solver optimization'!$C$7:$C$9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'solver optimization'!$C$10</definedName>
    <definedName name="solver_pre" localSheetId="2" hidden="1">0.000001</definedName>
    <definedName name="solver_rbv" localSheetId="2" hidden="1">2</definedName>
    <definedName name="solver_rel1" localSheetId="2" hidden="1">4</definedName>
    <definedName name="solver_rel2" localSheetId="2" hidden="1">3</definedName>
    <definedName name="solver_rel3" localSheetId="2" hidden="1">3</definedName>
    <definedName name="solver_rhs1" localSheetId="2" hidden="1">"integer"</definedName>
    <definedName name="solver_rhs2" localSheetId="2" hidden="1">1</definedName>
    <definedName name="solver_rhs3" localSheetId="2" hidden="1">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100</definedName>
    <definedName name="solver_ver" localSheetId="2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Q14" i="4" l="1"/>
  <c r="K23" i="4"/>
  <c r="Q17" i="4"/>
  <c r="K22" i="4"/>
  <c r="Q11" i="4"/>
  <c r="G2" i="1"/>
  <c r="G3" i="1"/>
  <c r="G4" i="1"/>
  <c r="G5" i="1"/>
  <c r="G6" i="1"/>
  <c r="G7" i="1"/>
  <c r="G8" i="1"/>
  <c r="G9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<sst xmlns="http://schemas.openxmlformats.org/spreadsheetml/2006/main" count="261" uniqueCount="122">
  <si>
    <t>Name</t>
  </si>
  <si>
    <t>Department</t>
  </si>
  <si>
    <t>Sales</t>
  </si>
  <si>
    <t>Region</t>
  </si>
  <si>
    <t>Target</t>
  </si>
  <si>
    <t>Status</t>
  </si>
  <si>
    <t>John</t>
  </si>
  <si>
    <t>Marketing</t>
  </si>
  <si>
    <t>North</t>
  </si>
  <si>
    <t>Alice</t>
  </si>
  <si>
    <t>South</t>
  </si>
  <si>
    <t>Bob</t>
  </si>
  <si>
    <t>East</t>
  </si>
  <si>
    <t>Emma</t>
  </si>
  <si>
    <t>West</t>
  </si>
  <si>
    <t>David</t>
  </si>
  <si>
    <t>HR</t>
  </si>
  <si>
    <t>Lucy</t>
  </si>
  <si>
    <t>Oliver</t>
  </si>
  <si>
    <t>Sophie</t>
  </si>
  <si>
    <t>eligibilty</t>
  </si>
  <si>
    <t>Salary</t>
  </si>
  <si>
    <t>Benjamin Thompson</t>
  </si>
  <si>
    <t>Charlotte Wilson</t>
  </si>
  <si>
    <t>Daniel Martinez</t>
  </si>
  <si>
    <t>Emily Rodriguez</t>
  </si>
  <si>
    <t>Katherine Young</t>
  </si>
  <si>
    <t>Ulysses Turner</t>
  </si>
  <si>
    <t>Victoria Green</t>
  </si>
  <si>
    <t>Brandon Murphy</t>
  </si>
  <si>
    <t>Laura Mitchell</t>
  </si>
  <si>
    <t>Natalie Torres</t>
  </si>
  <si>
    <t>Grace Johnson</t>
  </si>
  <si>
    <t>Isabella Hall</t>
  </si>
  <si>
    <t>Olivia Wright</t>
  </si>
  <si>
    <t>Patrick Adams</t>
  </si>
  <si>
    <t>William White</t>
  </si>
  <si>
    <t>Xavier Nelson</t>
  </si>
  <si>
    <t>Yolanda Moore</t>
  </si>
  <si>
    <t>Amelia Cooper</t>
  </si>
  <si>
    <t>Evelyn Howard</t>
  </si>
  <si>
    <t>Hannah Flores</t>
  </si>
  <si>
    <t>Isaac Simmons</t>
  </si>
  <si>
    <t>Alice Carter</t>
  </si>
  <si>
    <t>Frank Harris</t>
  </si>
  <si>
    <t>Madison King</t>
  </si>
  <si>
    <t>Rachel Baker</t>
  </si>
  <si>
    <t>Samuel Perez</t>
  </si>
  <si>
    <t>Taylor Clark</t>
  </si>
  <si>
    <t>Zachary Hill</t>
  </si>
  <si>
    <t>Felix Brooks</t>
  </si>
  <si>
    <t>Gabriel Ward</t>
  </si>
  <si>
    <t>Julia Butler</t>
  </si>
  <si>
    <t>Mason Carter</t>
  </si>
  <si>
    <t>Henry Lewis</t>
  </si>
  <si>
    <t>Jack Walker</t>
  </si>
  <si>
    <t>Quinn Evans</t>
  </si>
  <si>
    <t>Liam Allen</t>
  </si>
  <si>
    <t>Noah Scott</t>
  </si>
  <si>
    <t>Chloe Reed</t>
  </si>
  <si>
    <t>David Bell</t>
  </si>
  <si>
    <t>Kevin Gray</t>
  </si>
  <si>
    <t>Employee ID</t>
  </si>
  <si>
    <t>Joining Date</t>
  </si>
  <si>
    <t>Performance Score</t>
  </si>
  <si>
    <t>Finance</t>
  </si>
  <si>
    <t>IT</t>
  </si>
  <si>
    <t>Excel Solver Practice Question</t>
  </si>
  <si>
    <t>Question:</t>
  </si>
  <si>
    <t>You have a budget of Rs.100. Buy Pens, Pencils and Erasers (Prices:10,5,20). Use Solver to find quantities so total cost is exactly Rs.100.</t>
  </si>
  <si>
    <t>Product</t>
  </si>
  <si>
    <t>Price</t>
  </si>
  <si>
    <t>Quantity</t>
  </si>
  <si>
    <t>Pen</t>
  </si>
  <si>
    <t>Pencil</t>
  </si>
  <si>
    <t>Eraser</t>
  </si>
  <si>
    <t>Total Cost</t>
  </si>
  <si>
    <t>Student</t>
  </si>
  <si>
    <t>Hours_Studied (X₁)</t>
  </si>
  <si>
    <t>Attendance (%) (X₂)</t>
  </si>
  <si>
    <t>Marks (Y)</t>
  </si>
  <si>
    <t>1. Find the department name whose id is 1019 = =VLOOKUP(1019,A:F,3,False)</t>
  </si>
  <si>
    <t>3. Find the employee id of an employee David Bell? =MATCH(1019,A:A,0)</t>
  </si>
  <si>
    <t xml:space="preserve">By using match function and index fucntion </t>
  </si>
  <si>
    <t>match</t>
  </si>
  <si>
    <t>row number of the lookup</t>
  </si>
  <si>
    <t>index</t>
  </si>
  <si>
    <t>2. Find the salary of an employee whose name is David Bell?  =VLOOKUP("David Bell",B:F,3,)</t>
  </si>
  <si>
    <t>How to perform regression analysis by using excel</t>
  </si>
  <si>
    <t>go to data tab, click on data analysis on top right corner, if not there then go to file and click on options and Add-ins and go and then select all the options and ok</t>
  </si>
  <si>
    <t xml:space="preserve">Data -&gt; Data Analysis -&gt; Regression -&gt;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</si>
  <si>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</si>
  <si>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</si>
  <si>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</si>
  <si>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</si>
  <si>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</si>
  <si>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</si>
  <si>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</si>
  <si>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</si>
  <si>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</si>
  <si>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</si>
  <si>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</si>
  <si>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</si>
  <si>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</si>
  <si>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</si>
  <si>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</si>
  <si>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</si>
  <si>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</si>
  <si>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</si>
  <si>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</si>
  <si>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</si>
  <si>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</si>
  <si>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</si>
  <si>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</si>
  <si>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</si>
  <si>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y = mx + c for regression problem, y = m1x1 + m2x2 + c where c =, m1 = , m2 = </t>
  </si>
  <si>
    <t xml:space="preserve">QQ) Create a pivot table for sales by region from orders data </t>
  </si>
  <si>
    <t>equation = 10x + 5y + 10z = 100</t>
  </si>
  <si>
    <t>condition x, y, z &gt; 0</t>
  </si>
  <si>
    <t>x, y , z  -&gt; int</t>
  </si>
  <si>
    <t>Click On Data - &gt; Solver - &gt;  set Objective( select the cell) -&gt; Value of 100 -&gt; and see ppt for further</t>
  </si>
  <si>
    <t xml:space="preserve"> =SUMPRODUCT(B7:B9,C7:C9)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</si>
</sst>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/>
    <xf numFmtId="0" fontId="4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9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9" totalsRowShown="0" headerRowDxfId="8" dataDxfId="7">
  <autoFilter ref="A1:G9" xr:uid="{00000000-0009-0000-0100-000001000000}"/>
  <tableColumns count="7">
    <tableColumn id="1" xr3:uid="{00000000-0010-0000-0000-000001000000}" name="Name" dataDxfId="6"/>
    <tableColumn id="2" xr3:uid="{00000000-0010-0000-0000-000002000000}" name="Department" dataDxfId="5"/>
    <tableColumn id="3" xr3:uid="{00000000-0010-0000-0000-000003000000}" name="Sales" dataDxfId="4"/>
    <tableColumn id="4" xr3:uid="{00000000-0010-0000-0000-000004000000}" name="Region" dataDxfId="3"/>
    <tableColumn id="5" xr3:uid="{00000000-0010-0000-0000-000005000000}" name="Target" dataDxfId="2"/>
    <tableColumn id="6" xr3:uid="{00000000-0010-0000-0000-000006000000}" name="Status" dataDxfId="1">
      <calculatedColumnFormula>IF(Table1[[#This Row],[Sales]]&gt;=Table1[[#This Row],[Target]],"Eligible for incentive","Not eligible for incentive")</calculatedColumnFormula>
    </tableColumn>
    <tableColumn id="7" xr3:uid="{00000000-0010-0000-0000-000007000000}" name="eligibilty" dataDxfId="0">
      <calculatedColumnFormula>IF(C1&gt;=E1,"Eligible for incentive","Not eligible for incentive")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D16" sqref="D16"/>
    </sheetView>
  </sheetViews>
  <sheetFormatPr defaultRowHeight="14.4" x14ac:dyDescent="0.3"/>
  <cols>
    <col min="2" max="2" width="12.77734375" bestFit="1" customWidth="1"/>
    <col min="3" max="3" width="9.6640625" bestFit="1" customWidth="1"/>
    <col min="4" max="4" width="11.21875" bestFit="1" customWidth="1"/>
    <col min="5" max="5" width="10.77734375" bestFit="1" customWidth="1"/>
    <col min="6" max="6" width="13.2187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</row>
    <row r="2" spans="1:7" ht="28.8" x14ac:dyDescent="0.3">
      <c r="A2" s="2" t="s">
        <v>6</v>
      </c>
      <c r="B2" s="2" t="s">
        <v>7</v>
      </c>
      <c r="C2" s="2">
        <v>5000</v>
      </c>
      <c r="D2" s="2" t="s">
        <v>8</v>
      </c>
      <c r="E2" s="2">
        <v>8000</v>
      </c>
      <c r="F2" s="2" t="str">
        <f>IF(Table1[[#This Row],[Sales]]&gt;=Table1[[#This Row],[Target]],"Eligible for incentive","Not eligible for incentive")</f>
        <v>Not eligible for incentive</v>
      </c>
      <c r="G2" s="2" t="str">
        <f t="shared" ref="G2:G9" si="0">IF(C1&gt;=E1,"Eligible for incentive","Not eligible for incentive")</f>
        <v>Not eligible for incentive</v>
      </c>
    </row>
    <row r="3" spans="1:7" ht="28.8" x14ac:dyDescent="0.3">
      <c r="A3" s="2" t="s">
        <v>9</v>
      </c>
      <c r="B3" s="2" t="s">
        <v>2</v>
      </c>
      <c r="C3" s="2">
        <v>7000</v>
      </c>
      <c r="D3" s="2" t="s">
        <v>10</v>
      </c>
      <c r="E3" s="2">
        <v>12000</v>
      </c>
      <c r="F3" s="2" t="str">
        <f>IF(Table1[[#This Row],[Sales]]&gt;=Table1[[#This Row],[Target]],"Eligible for incentive","Not eligible for incentive")</f>
        <v>Not eligible for incentive</v>
      </c>
      <c r="G3" s="2" t="str">
        <f t="shared" si="0"/>
        <v>Not eligible for incentive</v>
      </c>
    </row>
    <row r="4" spans="1:7" ht="28.8" x14ac:dyDescent="0.3">
      <c r="A4" s="2" t="s">
        <v>11</v>
      </c>
      <c r="B4" s="2" t="s">
        <v>7</v>
      </c>
      <c r="C4" s="2">
        <v>8500</v>
      </c>
      <c r="D4" s="2" t="s">
        <v>12</v>
      </c>
      <c r="E4" s="2">
        <v>8000</v>
      </c>
      <c r="F4" s="2" t="str">
        <f>IF(Table1[[#This Row],[Sales]]&gt;=Table1[[#This Row],[Target]],"Eligible for incentive","Not eligible for incentive")</f>
        <v>Eligible for incentive</v>
      </c>
      <c r="G4" s="2" t="str">
        <f t="shared" si="0"/>
        <v>Not eligible for incentive</v>
      </c>
    </row>
    <row r="5" spans="1:7" ht="28.8" x14ac:dyDescent="0.3">
      <c r="A5" s="2" t="s">
        <v>13</v>
      </c>
      <c r="B5" s="2" t="s">
        <v>2</v>
      </c>
      <c r="C5" s="2">
        <v>4000</v>
      </c>
      <c r="D5" s="2" t="s">
        <v>14</v>
      </c>
      <c r="E5" s="2">
        <v>12000</v>
      </c>
      <c r="F5" s="2" t="str">
        <f>IF(Table1[[#This Row],[Sales]]&gt;=Table1[[#This Row],[Target]],"Eligible for incentive","Not eligible for incentive")</f>
        <v>Not eligible for incentive</v>
      </c>
      <c r="G5" s="2" t="str">
        <f t="shared" si="0"/>
        <v>Eligible for incentive</v>
      </c>
    </row>
    <row r="6" spans="1:7" ht="28.8" x14ac:dyDescent="0.3">
      <c r="A6" s="2" t="s">
        <v>15</v>
      </c>
      <c r="B6" s="2" t="s">
        <v>16</v>
      </c>
      <c r="C6" s="2">
        <v>2000</v>
      </c>
      <c r="D6" s="2" t="s">
        <v>8</v>
      </c>
      <c r="E6" s="2">
        <v>5000</v>
      </c>
      <c r="F6" s="2" t="str">
        <f>IF(Table1[[#This Row],[Sales]]&gt;=Table1[[#This Row],[Target]],"Eligible for incentive","Not eligible for incentive")</f>
        <v>Not eligible for incentive</v>
      </c>
      <c r="G6" s="2" t="str">
        <f t="shared" si="0"/>
        <v>Not eligible for incentive</v>
      </c>
    </row>
    <row r="7" spans="1:7" ht="28.8" x14ac:dyDescent="0.3">
      <c r="A7" s="2" t="s">
        <v>17</v>
      </c>
      <c r="B7" s="2" t="s">
        <v>2</v>
      </c>
      <c r="C7" s="2">
        <v>13000</v>
      </c>
      <c r="D7" s="2" t="s">
        <v>12</v>
      </c>
      <c r="E7" s="2">
        <v>12000</v>
      </c>
      <c r="F7" s="2" t="str">
        <f>IF(Table1[[#This Row],[Sales]]&gt;=Table1[[#This Row],[Target]],"Eligible for incentive","Not eligible for incentive")</f>
        <v>Eligible for incentive</v>
      </c>
      <c r="G7" s="2" t="str">
        <f t="shared" si="0"/>
        <v>Not eligible for incentive</v>
      </c>
    </row>
    <row r="8" spans="1:7" ht="28.8" x14ac:dyDescent="0.3">
      <c r="A8" s="2" t="s">
        <v>18</v>
      </c>
      <c r="B8" s="2" t="s">
        <v>7</v>
      </c>
      <c r="C8" s="2">
        <v>4500</v>
      </c>
      <c r="D8" s="2" t="s">
        <v>14</v>
      </c>
      <c r="E8" s="2">
        <v>8000</v>
      </c>
      <c r="F8" s="2" t="str">
        <f>IF(Table1[[#This Row],[Sales]]&gt;=Table1[[#This Row],[Target]],"Eligible for incentive","Not eligible for incentive")</f>
        <v>Not eligible for incentive</v>
      </c>
      <c r="G8" s="2" t="str">
        <f t="shared" si="0"/>
        <v>Eligible for incentive</v>
      </c>
    </row>
    <row r="9" spans="1:7" ht="28.8" x14ac:dyDescent="0.3">
      <c r="A9" s="2" t="s">
        <v>19</v>
      </c>
      <c r="B9" s="2" t="s">
        <v>16</v>
      </c>
      <c r="C9" s="2">
        <v>3500</v>
      </c>
      <c r="D9" s="2" t="s">
        <v>10</v>
      </c>
      <c r="E9" s="2">
        <v>5000</v>
      </c>
      <c r="F9" s="2" t="str">
        <f>IF(Table1[[#This Row],[Sales]]&gt;=Table1[[#This Row],[Target]],"Eligible for incentive","Not eligible for incentive")</f>
        <v>Not eligible for incentive</v>
      </c>
      <c r="G9" s="2" t="str">
        <f t="shared" si="0"/>
        <v>Not eligible for incentive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>
      <selection activeCell="C19" sqref="C19"/>
    </sheetView>
  </sheetViews>
  <sheetFormatPr defaultRowHeight="14.4" x14ac:dyDescent="0.3"/>
  <cols>
    <col min="1" max="1" width="13.109375" customWidth="1"/>
    <col min="2" max="2" width="17.77734375" bestFit="1" customWidth="1"/>
    <col min="5" max="5" width="18.109375" bestFit="1" customWidth="1"/>
    <col min="6" max="6" width="17.21875" bestFit="1" customWidth="1"/>
    <col min="10" max="10" width="8.21875" customWidth="1"/>
    <col min="17" max="17" width="16.77734375" customWidth="1"/>
  </cols>
  <sheetData>
    <row r="1" spans="1:17" x14ac:dyDescent="0.3">
      <c r="A1" s="3" t="s">
        <v>62</v>
      </c>
      <c r="B1" s="3" t="s">
        <v>0</v>
      </c>
      <c r="C1" s="3" t="s">
        <v>1</v>
      </c>
      <c r="D1" s="3" t="s">
        <v>21</v>
      </c>
      <c r="E1" s="3" t="s">
        <v>63</v>
      </c>
      <c r="F1" s="3" t="s">
        <v>64</v>
      </c>
    </row>
    <row r="2" spans="1:17" x14ac:dyDescent="0.3">
      <c r="A2" s="4">
        <v>1001</v>
      </c>
      <c r="B2" s="4" t="s">
        <v>43</v>
      </c>
      <c r="C2" s="4" t="s">
        <v>7</v>
      </c>
      <c r="D2" s="4">
        <v>50627</v>
      </c>
      <c r="E2" s="5">
        <v>42035</v>
      </c>
      <c r="F2" s="4">
        <v>8</v>
      </c>
    </row>
    <row r="3" spans="1:17" x14ac:dyDescent="0.3">
      <c r="A3" s="4">
        <v>1002</v>
      </c>
      <c r="B3" s="4" t="s">
        <v>22</v>
      </c>
      <c r="C3" s="4" t="s">
        <v>2</v>
      </c>
      <c r="D3" s="4">
        <v>48792</v>
      </c>
      <c r="E3" s="5">
        <v>42063</v>
      </c>
      <c r="F3" s="4">
        <v>5</v>
      </c>
    </row>
    <row r="4" spans="1:17" x14ac:dyDescent="0.3">
      <c r="A4" s="4">
        <v>1003</v>
      </c>
      <c r="B4" s="4" t="s">
        <v>23</v>
      </c>
      <c r="C4" s="4" t="s">
        <v>65</v>
      </c>
      <c r="D4" s="4">
        <v>83323</v>
      </c>
      <c r="E4" s="5">
        <v>42094</v>
      </c>
      <c r="F4" s="4">
        <v>2</v>
      </c>
    </row>
    <row r="5" spans="1:17" x14ac:dyDescent="0.3">
      <c r="A5" s="4">
        <v>1004</v>
      </c>
      <c r="B5" s="4" t="s">
        <v>24</v>
      </c>
      <c r="C5" s="4" t="s">
        <v>2</v>
      </c>
      <c r="D5" s="4">
        <v>83021</v>
      </c>
      <c r="E5" s="5">
        <v>42124</v>
      </c>
      <c r="F5" s="4">
        <v>5</v>
      </c>
    </row>
    <row r="6" spans="1:17" x14ac:dyDescent="0.3">
      <c r="A6" s="4">
        <v>1005</v>
      </c>
      <c r="B6" s="4" t="s">
        <v>25</v>
      </c>
      <c r="C6" s="4" t="s">
        <v>2</v>
      </c>
      <c r="D6" s="4">
        <v>48433</v>
      </c>
      <c r="E6" s="5">
        <v>42155</v>
      </c>
      <c r="F6" s="4">
        <v>8</v>
      </c>
      <c r="J6" t="s">
        <v>116</v>
      </c>
    </row>
    <row r="7" spans="1:17" x14ac:dyDescent="0.3">
      <c r="A7" s="4">
        <v>1006</v>
      </c>
      <c r="B7" s="4" t="s">
        <v>44</v>
      </c>
      <c r="C7" s="4" t="s">
        <v>66</v>
      </c>
      <c r="D7" s="4">
        <v>83001</v>
      </c>
      <c r="E7" s="5">
        <v>42185</v>
      </c>
      <c r="F7" s="4">
        <v>9</v>
      </c>
    </row>
    <row r="8" spans="1:17" ht="18" x14ac:dyDescent="0.3">
      <c r="A8" s="4">
        <v>1007</v>
      </c>
      <c r="B8" s="4" t="s">
        <v>32</v>
      </c>
      <c r="C8" s="4" t="s">
        <v>65</v>
      </c>
      <c r="D8" s="4">
        <v>51016</v>
      </c>
      <c r="E8" s="5">
        <v>42216</v>
      </c>
      <c r="F8" s="4">
        <v>9</v>
      </c>
      <c r="I8" s="6"/>
    </row>
    <row r="9" spans="1:17" x14ac:dyDescent="0.3">
      <c r="A9" s="4">
        <v>1008</v>
      </c>
      <c r="B9" s="4" t="s">
        <v>54</v>
      </c>
      <c r="C9" s="4" t="s">
        <v>65</v>
      </c>
      <c r="D9" s="4">
        <v>63897</v>
      </c>
      <c r="E9" s="5">
        <v>42247</v>
      </c>
      <c r="F9" s="4">
        <v>1</v>
      </c>
    </row>
    <row r="10" spans="1:17" x14ac:dyDescent="0.3">
      <c r="A10" s="4">
        <v>1009</v>
      </c>
      <c r="B10" s="4" t="s">
        <v>33</v>
      </c>
      <c r="C10" s="4" t="s">
        <v>65</v>
      </c>
      <c r="D10" s="4">
        <v>42612</v>
      </c>
      <c r="E10" s="5">
        <v>42277</v>
      </c>
      <c r="F10" s="4">
        <v>9</v>
      </c>
    </row>
    <row r="11" spans="1:17" ht="21" x14ac:dyDescent="0.4">
      <c r="A11" s="4">
        <v>1010</v>
      </c>
      <c r="B11" s="4" t="s">
        <v>55</v>
      </c>
      <c r="C11" s="4" t="s">
        <v>2</v>
      </c>
      <c r="D11" s="4">
        <v>63483</v>
      </c>
      <c r="E11" s="5">
        <v>42308</v>
      </c>
      <c r="F11" s="4">
        <v>7</v>
      </c>
      <c r="J11" s="10" t="s">
        <v>81</v>
      </c>
      <c r="Q11" t="str">
        <f>VLOOKUP(1019,A:F,3,)</f>
        <v>HR</v>
      </c>
    </row>
    <row r="12" spans="1:17" x14ac:dyDescent="0.3">
      <c r="A12" s="4">
        <v>1011</v>
      </c>
      <c r="B12" s="4" t="s">
        <v>26</v>
      </c>
      <c r="C12" s="4" t="s">
        <v>7</v>
      </c>
      <c r="D12" s="4">
        <v>88555</v>
      </c>
      <c r="E12" s="5">
        <v>42338</v>
      </c>
      <c r="F12" s="4">
        <v>9</v>
      </c>
    </row>
    <row r="13" spans="1:17" x14ac:dyDescent="0.3">
      <c r="A13" s="4">
        <v>1012</v>
      </c>
      <c r="B13" s="4" t="s">
        <v>57</v>
      </c>
      <c r="C13" s="4" t="s">
        <v>65</v>
      </c>
      <c r="D13" s="4">
        <v>57159</v>
      </c>
      <c r="E13" s="5">
        <v>42369</v>
      </c>
      <c r="F13" s="4">
        <v>8</v>
      </c>
    </row>
    <row r="14" spans="1:17" ht="18" x14ac:dyDescent="0.35">
      <c r="A14" s="4">
        <v>1013</v>
      </c>
      <c r="B14" s="4" t="s">
        <v>45</v>
      </c>
      <c r="C14" s="4" t="s">
        <v>2</v>
      </c>
      <c r="D14" s="4">
        <v>84974</v>
      </c>
      <c r="E14" s="5">
        <v>42400</v>
      </c>
      <c r="F14" s="4">
        <v>1</v>
      </c>
      <c r="J14" s="11" t="s">
        <v>87</v>
      </c>
      <c r="Q14">
        <f>VLOOKUP("David Bell",B:F,3,)</f>
        <v>45675</v>
      </c>
    </row>
    <row r="15" spans="1:17" x14ac:dyDescent="0.3">
      <c r="A15" s="4">
        <v>1014</v>
      </c>
      <c r="B15" s="4" t="s">
        <v>58</v>
      </c>
      <c r="C15" s="4" t="s">
        <v>66</v>
      </c>
      <c r="D15" s="4">
        <v>80994</v>
      </c>
      <c r="E15" s="5">
        <v>42429</v>
      </c>
      <c r="F15" s="4">
        <v>8</v>
      </c>
    </row>
    <row r="16" spans="1:17" x14ac:dyDescent="0.3">
      <c r="A16" s="4">
        <v>1015</v>
      </c>
      <c r="B16" s="4" t="s">
        <v>34</v>
      </c>
      <c r="C16" s="4" t="s">
        <v>7</v>
      </c>
      <c r="D16" s="4">
        <v>54541</v>
      </c>
      <c r="E16" s="5">
        <v>42460</v>
      </c>
      <c r="F16" s="4">
        <v>8</v>
      </c>
    </row>
    <row r="17" spans="1:17" ht="21" x14ac:dyDescent="0.4">
      <c r="A17" s="4">
        <v>1016</v>
      </c>
      <c r="B17" s="4" t="s">
        <v>35</v>
      </c>
      <c r="C17" s="4" t="s">
        <v>66</v>
      </c>
      <c r="D17" s="4">
        <v>75920</v>
      </c>
      <c r="E17" s="5">
        <v>42490</v>
      </c>
      <c r="F17" s="4">
        <v>3</v>
      </c>
      <c r="J17" s="10" t="s">
        <v>82</v>
      </c>
      <c r="Q17">
        <f>MATCH(1019,A:A,0)</f>
        <v>20</v>
      </c>
    </row>
    <row r="18" spans="1:17" x14ac:dyDescent="0.3">
      <c r="A18" s="4">
        <v>1017</v>
      </c>
      <c r="B18" s="4" t="s">
        <v>56</v>
      </c>
      <c r="C18" s="4" t="s">
        <v>7</v>
      </c>
      <c r="D18" s="4">
        <v>66531</v>
      </c>
      <c r="E18" s="5">
        <v>42521</v>
      </c>
      <c r="F18" s="4">
        <v>1</v>
      </c>
    </row>
    <row r="19" spans="1:17" x14ac:dyDescent="0.3">
      <c r="A19" s="4">
        <v>1018</v>
      </c>
      <c r="B19" s="4" t="s">
        <v>46</v>
      </c>
      <c r="C19" s="4" t="s">
        <v>2</v>
      </c>
      <c r="D19" s="4">
        <v>41585</v>
      </c>
      <c r="E19" s="5">
        <v>42551</v>
      </c>
      <c r="F19" s="4">
        <v>8</v>
      </c>
    </row>
    <row r="20" spans="1:17" x14ac:dyDescent="0.3">
      <c r="A20" s="4">
        <v>1019</v>
      </c>
      <c r="B20" s="4" t="s">
        <v>47</v>
      </c>
      <c r="C20" s="4" t="s">
        <v>16</v>
      </c>
      <c r="D20" s="4">
        <v>43943</v>
      </c>
      <c r="E20" s="5">
        <v>42582</v>
      </c>
      <c r="F20" s="4">
        <v>3</v>
      </c>
      <c r="J20" t="s">
        <v>83</v>
      </c>
    </row>
    <row r="21" spans="1:17" x14ac:dyDescent="0.3">
      <c r="A21" s="4">
        <v>1020</v>
      </c>
      <c r="B21" s="4" t="s">
        <v>48</v>
      </c>
      <c r="C21" s="4" t="s">
        <v>7</v>
      </c>
      <c r="D21" s="4">
        <v>63939</v>
      </c>
      <c r="E21" s="5">
        <v>42613</v>
      </c>
      <c r="F21" s="4">
        <v>3</v>
      </c>
    </row>
    <row r="22" spans="1:17" x14ac:dyDescent="0.3">
      <c r="A22" s="4">
        <v>1021</v>
      </c>
      <c r="B22" s="4" t="s">
        <v>27</v>
      </c>
      <c r="C22" s="4" t="s">
        <v>66</v>
      </c>
      <c r="D22" s="4">
        <v>59457</v>
      </c>
      <c r="E22" s="5">
        <v>42643</v>
      </c>
      <c r="F22" s="4">
        <v>1</v>
      </c>
      <c r="J22" t="s">
        <v>84</v>
      </c>
      <c r="K22">
        <f>MATCH(1019,A:A,)</f>
        <v>20</v>
      </c>
      <c r="L22" t="s">
        <v>85</v>
      </c>
    </row>
    <row r="23" spans="1:17" x14ac:dyDescent="0.3">
      <c r="A23" s="4">
        <v>1022</v>
      </c>
      <c r="B23" s="4" t="s">
        <v>28</v>
      </c>
      <c r="C23" s="4" t="s">
        <v>2</v>
      </c>
      <c r="D23" s="4">
        <v>41021</v>
      </c>
      <c r="E23" s="5">
        <v>42674</v>
      </c>
      <c r="F23" s="4">
        <v>5</v>
      </c>
      <c r="J23" t="s">
        <v>86</v>
      </c>
      <c r="K23" t="str">
        <f>INDEX(C:C,20)</f>
        <v>HR</v>
      </c>
    </row>
    <row r="24" spans="1:17" x14ac:dyDescent="0.3">
      <c r="A24" s="4">
        <v>1023</v>
      </c>
      <c r="B24" s="4" t="s">
        <v>36</v>
      </c>
      <c r="C24" s="4" t="s">
        <v>7</v>
      </c>
      <c r="D24" s="4">
        <v>51653</v>
      </c>
      <c r="E24" s="5">
        <v>42704</v>
      </c>
      <c r="F24" s="4">
        <v>7</v>
      </c>
    </row>
    <row r="25" spans="1:17" x14ac:dyDescent="0.3">
      <c r="A25" s="4">
        <v>1024</v>
      </c>
      <c r="B25" s="4" t="s">
        <v>37</v>
      </c>
      <c r="C25" s="4" t="s">
        <v>16</v>
      </c>
      <c r="D25" s="4">
        <v>83573</v>
      </c>
      <c r="E25" s="5">
        <v>42735</v>
      </c>
      <c r="F25" s="4">
        <v>9</v>
      </c>
    </row>
    <row r="26" spans="1:17" x14ac:dyDescent="0.3">
      <c r="A26" s="4">
        <v>1025</v>
      </c>
      <c r="B26" s="4" t="s">
        <v>38</v>
      </c>
      <c r="C26" s="4" t="s">
        <v>16</v>
      </c>
      <c r="D26" s="4">
        <v>53417</v>
      </c>
      <c r="E26" s="5">
        <v>42766</v>
      </c>
      <c r="F26" s="4">
        <v>7</v>
      </c>
    </row>
    <row r="27" spans="1:17" x14ac:dyDescent="0.3">
      <c r="A27" s="4">
        <v>1026</v>
      </c>
      <c r="B27" s="4" t="s">
        <v>49</v>
      </c>
      <c r="C27" s="4" t="s">
        <v>65</v>
      </c>
      <c r="D27" s="4">
        <v>80757</v>
      </c>
      <c r="E27" s="5">
        <v>42794</v>
      </c>
      <c r="F27" s="4">
        <v>9</v>
      </c>
    </row>
    <row r="28" spans="1:17" x14ac:dyDescent="0.3">
      <c r="A28" s="4">
        <v>1027</v>
      </c>
      <c r="B28" s="4" t="s">
        <v>39</v>
      </c>
      <c r="C28" s="4" t="s">
        <v>65</v>
      </c>
      <c r="D28" s="4">
        <v>49692</v>
      </c>
      <c r="E28" s="5">
        <v>42825</v>
      </c>
      <c r="F28" s="4">
        <v>8</v>
      </c>
    </row>
    <row r="29" spans="1:17" x14ac:dyDescent="0.3">
      <c r="A29" s="4">
        <v>1028</v>
      </c>
      <c r="B29" s="4" t="s">
        <v>29</v>
      </c>
      <c r="C29" s="4" t="s">
        <v>66</v>
      </c>
      <c r="D29" s="4">
        <v>85758</v>
      </c>
      <c r="E29" s="5">
        <v>42855</v>
      </c>
      <c r="F29" s="4">
        <v>2</v>
      </c>
    </row>
    <row r="30" spans="1:17" x14ac:dyDescent="0.3">
      <c r="A30" s="4">
        <v>1029</v>
      </c>
      <c r="B30" s="4" t="s">
        <v>59</v>
      </c>
      <c r="C30" s="4" t="s">
        <v>7</v>
      </c>
      <c r="D30" s="4">
        <v>46873</v>
      </c>
      <c r="E30" s="5">
        <v>42886</v>
      </c>
      <c r="F30" s="4">
        <v>1</v>
      </c>
    </row>
    <row r="31" spans="1:17" x14ac:dyDescent="0.3">
      <c r="A31" s="4">
        <v>1030</v>
      </c>
      <c r="B31" s="4" t="s">
        <v>60</v>
      </c>
      <c r="C31" s="4" t="s">
        <v>7</v>
      </c>
      <c r="D31" s="4">
        <v>45675</v>
      </c>
      <c r="E31" s="5">
        <v>42916</v>
      </c>
      <c r="F31" s="4">
        <v>7</v>
      </c>
    </row>
    <row r="32" spans="1:17" x14ac:dyDescent="0.3">
      <c r="A32" s="4">
        <v>1031</v>
      </c>
      <c r="B32" s="4" t="s">
        <v>40</v>
      </c>
      <c r="C32" s="4" t="s">
        <v>65</v>
      </c>
      <c r="D32" s="4">
        <v>40161</v>
      </c>
      <c r="E32" s="5">
        <v>42947</v>
      </c>
      <c r="F32" s="4">
        <v>7</v>
      </c>
    </row>
    <row r="33" spans="1:6" x14ac:dyDescent="0.3">
      <c r="A33" s="4">
        <v>1032</v>
      </c>
      <c r="B33" s="4" t="s">
        <v>50</v>
      </c>
      <c r="C33" s="4" t="s">
        <v>7</v>
      </c>
      <c r="D33" s="4">
        <v>77065</v>
      </c>
      <c r="E33" s="5">
        <v>42978</v>
      </c>
      <c r="F33" s="4">
        <v>8</v>
      </c>
    </row>
    <row r="34" spans="1:6" x14ac:dyDescent="0.3">
      <c r="A34" s="4">
        <v>1033</v>
      </c>
      <c r="B34" s="4" t="s">
        <v>51</v>
      </c>
      <c r="C34" s="4" t="s">
        <v>7</v>
      </c>
      <c r="D34" s="4">
        <v>66557</v>
      </c>
      <c r="E34" s="5">
        <v>43008</v>
      </c>
      <c r="F34" s="4">
        <v>5</v>
      </c>
    </row>
    <row r="35" spans="1:6" x14ac:dyDescent="0.3">
      <c r="A35" s="4">
        <v>1034</v>
      </c>
      <c r="B35" s="4" t="s">
        <v>41</v>
      </c>
      <c r="C35" s="4" t="s">
        <v>16</v>
      </c>
      <c r="D35" s="4">
        <v>73763</v>
      </c>
      <c r="E35" s="5">
        <v>43039</v>
      </c>
      <c r="F35" s="4">
        <v>3</v>
      </c>
    </row>
    <row r="36" spans="1:6" x14ac:dyDescent="0.3">
      <c r="A36" s="4">
        <v>1035</v>
      </c>
      <c r="B36" s="4" t="s">
        <v>42</v>
      </c>
      <c r="C36" s="4" t="s">
        <v>65</v>
      </c>
      <c r="D36" s="4">
        <v>72606</v>
      </c>
      <c r="E36" s="5">
        <v>43069</v>
      </c>
      <c r="F36" s="4">
        <v>8</v>
      </c>
    </row>
    <row r="37" spans="1:6" x14ac:dyDescent="0.3">
      <c r="A37" s="4">
        <v>1036</v>
      </c>
      <c r="B37" s="4" t="s">
        <v>52</v>
      </c>
      <c r="C37" s="4" t="s">
        <v>2</v>
      </c>
      <c r="D37" s="4">
        <v>51534</v>
      </c>
      <c r="E37" s="5">
        <v>43100</v>
      </c>
      <c r="F37" s="4">
        <v>6</v>
      </c>
    </row>
    <row r="38" spans="1:6" x14ac:dyDescent="0.3">
      <c r="A38" s="4">
        <v>1037</v>
      </c>
      <c r="B38" s="4" t="s">
        <v>61</v>
      </c>
      <c r="C38" s="4" t="s">
        <v>65</v>
      </c>
      <c r="D38" s="4">
        <v>69127</v>
      </c>
      <c r="E38" s="5">
        <v>43131</v>
      </c>
      <c r="F38" s="4">
        <v>3</v>
      </c>
    </row>
    <row r="39" spans="1:6" x14ac:dyDescent="0.3">
      <c r="A39" s="4">
        <v>1038</v>
      </c>
      <c r="B39" s="4" t="s">
        <v>30</v>
      </c>
      <c r="C39" s="4" t="s">
        <v>2</v>
      </c>
      <c r="D39" s="4">
        <v>80397</v>
      </c>
      <c r="E39" s="5">
        <v>43159</v>
      </c>
      <c r="F39" s="4">
        <v>1</v>
      </c>
    </row>
    <row r="40" spans="1:6" x14ac:dyDescent="0.3">
      <c r="A40" s="4">
        <v>1039</v>
      </c>
      <c r="B40" s="4" t="s">
        <v>53</v>
      </c>
      <c r="C40" s="4" t="s">
        <v>16</v>
      </c>
      <c r="D40" s="4">
        <v>65851</v>
      </c>
      <c r="E40" s="5">
        <v>43190</v>
      </c>
      <c r="F40" s="4">
        <v>3</v>
      </c>
    </row>
    <row r="41" spans="1:6" x14ac:dyDescent="0.3">
      <c r="A41" s="4">
        <v>1040</v>
      </c>
      <c r="B41" s="4" t="s">
        <v>31</v>
      </c>
      <c r="C41" s="4" t="s">
        <v>66</v>
      </c>
      <c r="D41" s="4">
        <v>41016</v>
      </c>
      <c r="E41" s="5">
        <v>43220</v>
      </c>
      <c r="F41" s="4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activeCell="C11" sqref="C11"/>
    </sheetView>
  </sheetViews>
  <sheetFormatPr defaultRowHeight="14.4" x14ac:dyDescent="0.3"/>
  <sheetData>
    <row r="1" spans="1:7" x14ac:dyDescent="0.3">
      <c r="A1" t="s">
        <v>67</v>
      </c>
    </row>
    <row r="3" spans="1:7" x14ac:dyDescent="0.3">
      <c r="A3" t="s">
        <v>68</v>
      </c>
    </row>
    <row r="4" spans="1:7" x14ac:dyDescent="0.3">
      <c r="A4" t="s">
        <v>69</v>
      </c>
    </row>
    <row r="6" spans="1:7" x14ac:dyDescent="0.3">
      <c r="A6" t="s">
        <v>70</v>
      </c>
      <c r="B6" t="s">
        <v>71</v>
      </c>
      <c r="C6" t="s">
        <v>72</v>
      </c>
    </row>
    <row r="7" spans="1:7" x14ac:dyDescent="0.3">
      <c r="A7" t="s">
        <v>73</v>
      </c>
      <c r="B7">
        <v>10</v>
      </c>
      <c r="C7">
        <v>1</v>
      </c>
    </row>
    <row r="8" spans="1:7" x14ac:dyDescent="0.3">
      <c r="A8" t="s">
        <v>74</v>
      </c>
      <c r="B8">
        <v>5</v>
      </c>
      <c r="C8">
        <v>2</v>
      </c>
    </row>
    <row r="9" spans="1:7" x14ac:dyDescent="0.3">
      <c r="A9" t="s">
        <v>75</v>
      </c>
      <c r="B9">
        <v>20</v>
      </c>
      <c r="C9">
        <v>4</v>
      </c>
      <c r="G9" t="s">
        <v>120</v>
      </c>
    </row>
    <row r="10" spans="1:7" x14ac:dyDescent="0.3">
      <c r="A10" t="s">
        <v>76</v>
      </c>
      <c r="C10">
        <f>SUMPRODUCT(B7:B9,C7:C9)</f>
        <v>100</v>
      </c>
    </row>
    <row r="11" spans="1:7" x14ac:dyDescent="0.3">
      <c r="C11" t="s">
        <v>121</v>
      </c>
    </row>
    <row r="12" spans="1:7" x14ac:dyDescent="0.3">
      <c r="B12" t="s">
        <v>117</v>
      </c>
    </row>
    <row r="13" spans="1:7" x14ac:dyDescent="0.3">
      <c r="B13" t="s">
        <v>118</v>
      </c>
      <c r="F13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A110-250E-4B46-8DE7-63F26CA94D1B}">
  <dimension ref="A1:I19"/>
  <sheetViews>
    <sheetView workbookViewId="0">
      <selection activeCell="L21" sqref="L21"/>
    </sheetView>
  </sheetViews>
  <sheetFormatPr defaultRowHeight="14.4" x14ac:dyDescent="0.3"/>
  <sheetData>
    <row r="1" spans="1:9" x14ac:dyDescent="0.3">
      <c r="A1" t="s">
        <v>91</v>
      </c>
    </row>
    <row r="2" spans="1:9" ht="15" thickBot="1" x14ac:dyDescent="0.35"/>
    <row r="3" spans="1:9" x14ac:dyDescent="0.3">
      <c r="A3" s="15" t="s">
        <v>92</v>
      </c>
      <c r="B3" s="15"/>
    </row>
    <row r="4" spans="1:9" x14ac:dyDescent="0.3">
      <c r="A4" s="12" t="s">
        <v>93</v>
      </c>
      <c r="B4" s="12">
        <v>0.99931520476709124</v>
      </c>
    </row>
    <row r="5" spans="1:9" x14ac:dyDescent="0.3">
      <c r="A5" s="12" t="s">
        <v>94</v>
      </c>
      <c r="B5" s="12">
        <v>0.99863087847869358</v>
      </c>
    </row>
    <row r="6" spans="1:9" x14ac:dyDescent="0.3">
      <c r="A6" s="12" t="s">
        <v>95</v>
      </c>
      <c r="B6" s="12">
        <v>0.99823970090117753</v>
      </c>
    </row>
    <row r="7" spans="1:9" x14ac:dyDescent="0.3">
      <c r="A7" s="12" t="s">
        <v>96</v>
      </c>
      <c r="B7" s="12">
        <v>0.7128528824885747</v>
      </c>
    </row>
    <row r="8" spans="1:9" ht="15" thickBot="1" x14ac:dyDescent="0.35">
      <c r="A8" s="13" t="s">
        <v>97</v>
      </c>
      <c r="B8" s="13">
        <v>10</v>
      </c>
    </row>
    <row r="10" spans="1:9" ht="15" thickBot="1" x14ac:dyDescent="0.35">
      <c r="A10" t="s">
        <v>98</v>
      </c>
    </row>
    <row r="11" spans="1:9" x14ac:dyDescent="0.3">
      <c r="A11" s="14"/>
      <c r="B11" s="14" t="s">
        <v>103</v>
      </c>
      <c r="C11" s="14" t="s">
        <v>104</v>
      </c>
      <c r="D11" s="14" t="s">
        <v>105</v>
      </c>
      <c r="E11" s="14" t="s">
        <v>106</v>
      </c>
      <c r="F11" s="14" t="s">
        <v>107</v>
      </c>
    </row>
    <row r="12" spans="1:9" x14ac:dyDescent="0.3">
      <c r="A12" s="12" t="s">
        <v>99</v>
      </c>
      <c r="B12" s="12">
        <v>2</v>
      </c>
      <c r="C12" s="12">
        <v>2594.5428853754938</v>
      </c>
      <c r="D12" s="12">
        <v>1297.2714426877469</v>
      </c>
      <c r="E12" s="12">
        <v>2552.883743541337</v>
      </c>
      <c r="F12" s="12">
        <v>9.4961374094543338E-11</v>
      </c>
    </row>
    <row r="13" spans="1:9" x14ac:dyDescent="0.3">
      <c r="A13" s="12" t="s">
        <v>100</v>
      </c>
      <c r="B13" s="12">
        <v>7</v>
      </c>
      <c r="C13" s="12">
        <v>3.5571146245058873</v>
      </c>
      <c r="D13" s="12">
        <v>0.50815923207226965</v>
      </c>
      <c r="E13" s="12"/>
      <c r="F13" s="12"/>
    </row>
    <row r="14" spans="1:9" ht="15" thickBot="1" x14ac:dyDescent="0.35">
      <c r="A14" s="13" t="s">
        <v>101</v>
      </c>
      <c r="B14" s="13">
        <v>9</v>
      </c>
      <c r="C14" s="13">
        <v>2598.1</v>
      </c>
      <c r="D14" s="13"/>
      <c r="E14" s="13"/>
      <c r="F14" s="13"/>
    </row>
    <row r="15" spans="1:9" ht="15" thickBot="1" x14ac:dyDescent="0.35"/>
    <row r="16" spans="1:9" x14ac:dyDescent="0.3">
      <c r="A16" s="14"/>
      <c r="B16" s="14" t="s">
        <v>108</v>
      </c>
      <c r="C16" s="14" t="s">
        <v>96</v>
      </c>
      <c r="D16" s="14" t="s">
        <v>109</v>
      </c>
      <c r="E16" s="14" t="s">
        <v>110</v>
      </c>
      <c r="F16" s="14" t="s">
        <v>111</v>
      </c>
      <c r="G16" s="14" t="s">
        <v>112</v>
      </c>
      <c r="H16" s="14" t="s">
        <v>113</v>
      </c>
      <c r="I16" s="14" t="s">
        <v>114</v>
      </c>
    </row>
    <row r="17" spans="1:9" x14ac:dyDescent="0.3">
      <c r="A17" s="12" t="s">
        <v>102</v>
      </c>
      <c r="B17" s="12">
        <v>5.9968379446642572</v>
      </c>
      <c r="C17" s="12">
        <v>15.284904837991816</v>
      </c>
      <c r="D17" s="12">
        <v>0.39233727708651817</v>
      </c>
      <c r="E17" s="12">
        <v>0.70648104355358332</v>
      </c>
      <c r="F17" s="12">
        <v>-30.146218718539075</v>
      </c>
      <c r="G17" s="12">
        <v>42.139894607867589</v>
      </c>
      <c r="H17" s="12">
        <v>-30.146218718539075</v>
      </c>
      <c r="I17" s="12">
        <v>42.139894607867589</v>
      </c>
    </row>
    <row r="18" spans="1:9" x14ac:dyDescent="0.3">
      <c r="A18" s="12" t="s">
        <v>78</v>
      </c>
      <c r="B18" s="12">
        <v>3.5466403162055444</v>
      </c>
      <c r="C18" s="12">
        <v>1.1157462488627747</v>
      </c>
      <c r="D18" s="12">
        <v>3.1787158772171185</v>
      </c>
      <c r="E18" s="12">
        <v>1.5518358529964565E-2</v>
      </c>
      <c r="F18" s="12">
        <v>0.90831967752094878</v>
      </c>
      <c r="G18" s="12">
        <v>6.1849609548901405</v>
      </c>
      <c r="H18" s="12">
        <v>0.90831967752094878</v>
      </c>
      <c r="I18" s="12">
        <v>6.1849609548901405</v>
      </c>
    </row>
    <row r="19" spans="1:9" ht="15" thickBot="1" x14ac:dyDescent="0.35">
      <c r="A19" s="13" t="s">
        <v>79</v>
      </c>
      <c r="B19" s="13">
        <v>0.53260869565217017</v>
      </c>
      <c r="C19" s="13">
        <v>0.28784031807138338</v>
      </c>
      <c r="D19" s="13">
        <v>1.8503616839392356</v>
      </c>
      <c r="E19" s="13">
        <v>0.10671044359149846</v>
      </c>
      <c r="F19" s="13">
        <v>-0.14802550104560397</v>
      </c>
      <c r="G19" s="13">
        <v>1.2132428923499443</v>
      </c>
      <c r="H19" s="13">
        <v>-0.14802550104560397</v>
      </c>
      <c r="I19" s="13">
        <v>1.2132428923499443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13"/>
  <sheetViews>
    <sheetView workbookViewId="0">
      <selection activeCell="H8" sqref="H8"/>
    </sheetView>
  </sheetViews>
  <sheetFormatPr defaultRowHeight="14.4" x14ac:dyDescent="0.3"/>
  <sheetData>
    <row r="3" spans="2:8" ht="43.2" x14ac:dyDescent="0.3">
      <c r="B3" s="1" t="s">
        <v>77</v>
      </c>
      <c r="C3" s="8" t="s">
        <v>78</v>
      </c>
      <c r="D3" s="8" t="s">
        <v>79</v>
      </c>
      <c r="E3" s="8" t="s">
        <v>80</v>
      </c>
    </row>
    <row r="4" spans="2:8" x14ac:dyDescent="0.3">
      <c r="B4" s="2">
        <v>1</v>
      </c>
      <c r="C4" s="9">
        <v>2</v>
      </c>
      <c r="D4" s="9">
        <v>60</v>
      </c>
      <c r="E4" s="9">
        <v>45</v>
      </c>
      <c r="H4" t="s">
        <v>88</v>
      </c>
    </row>
    <row r="5" spans="2:8" x14ac:dyDescent="0.3">
      <c r="B5" s="2">
        <v>2</v>
      </c>
      <c r="C5" s="9">
        <v>3</v>
      </c>
      <c r="D5" s="9">
        <v>65</v>
      </c>
      <c r="E5" s="9">
        <v>50</v>
      </c>
      <c r="H5" t="s">
        <v>89</v>
      </c>
    </row>
    <row r="6" spans="2:8" x14ac:dyDescent="0.3">
      <c r="B6" s="2">
        <v>3</v>
      </c>
      <c r="C6" s="9">
        <v>4</v>
      </c>
      <c r="D6" s="9">
        <v>70</v>
      </c>
      <c r="E6" s="9">
        <v>58</v>
      </c>
      <c r="H6" t="s">
        <v>90</v>
      </c>
    </row>
    <row r="7" spans="2:8" x14ac:dyDescent="0.3">
      <c r="B7" s="2">
        <v>4</v>
      </c>
      <c r="C7" s="9">
        <v>5</v>
      </c>
      <c r="D7" s="9">
        <v>72</v>
      </c>
      <c r="E7" s="9">
        <v>62</v>
      </c>
    </row>
    <row r="8" spans="2:8" x14ac:dyDescent="0.3">
      <c r="B8" s="2">
        <v>5</v>
      </c>
      <c r="C8" s="9">
        <v>6</v>
      </c>
      <c r="D8" s="9">
        <v>75</v>
      </c>
      <c r="E8" s="9">
        <v>68</v>
      </c>
      <c r="H8" t="s">
        <v>115</v>
      </c>
    </row>
    <row r="9" spans="2:8" x14ac:dyDescent="0.3">
      <c r="B9" s="2">
        <v>6</v>
      </c>
      <c r="C9" s="9">
        <v>7</v>
      </c>
      <c r="D9" s="9">
        <v>80</v>
      </c>
      <c r="E9" s="9">
        <v>74</v>
      </c>
    </row>
    <row r="10" spans="2:8" x14ac:dyDescent="0.3">
      <c r="B10" s="2">
        <v>7</v>
      </c>
      <c r="C10" s="9">
        <v>8</v>
      </c>
      <c r="D10" s="9">
        <v>85</v>
      </c>
      <c r="E10" s="9">
        <v>80</v>
      </c>
    </row>
    <row r="11" spans="2:8" x14ac:dyDescent="0.3">
      <c r="B11" s="2">
        <v>8</v>
      </c>
      <c r="C11" s="9">
        <v>9</v>
      </c>
      <c r="D11" s="9">
        <v>88</v>
      </c>
      <c r="E11" s="9">
        <v>85</v>
      </c>
    </row>
    <row r="12" spans="2:8" x14ac:dyDescent="0.3">
      <c r="B12" s="2">
        <v>9</v>
      </c>
      <c r="C12" s="9">
        <v>10</v>
      </c>
      <c r="D12" s="9">
        <v>92</v>
      </c>
      <c r="E12" s="9">
        <v>90</v>
      </c>
    </row>
    <row r="13" spans="2:8" x14ac:dyDescent="0.3">
      <c r="B13" s="2">
        <v>10</v>
      </c>
      <c r="C13" s="9">
        <v>11</v>
      </c>
      <c r="D13" s="9">
        <v>95</v>
      </c>
      <c r="E13" s="9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"/>
  <sheetViews>
    <sheetView topLeftCell="B1" workbookViewId="0">
      <selection activeCell="B9" sqref="B9:B14"/>
    </sheetView>
  </sheetViews>
  <sheetFormatPr defaultRowHeight="14.4" x14ac:dyDescent="0.3"/>
  <sheetData>
    <row r="1" spans="1:41" x14ac:dyDescent="0.3">
      <c r="A1" s="3" t="s">
        <v>62</v>
      </c>
      <c r="B1" s="4">
        <v>1001</v>
      </c>
      <c r="C1" s="4">
        <v>1002</v>
      </c>
      <c r="D1" s="4">
        <v>1003</v>
      </c>
      <c r="E1" s="4">
        <v>1004</v>
      </c>
      <c r="F1" s="4">
        <v>1005</v>
      </c>
      <c r="G1" s="4">
        <v>1006</v>
      </c>
      <c r="H1" s="4">
        <v>1007</v>
      </c>
      <c r="I1" s="4">
        <v>1008</v>
      </c>
      <c r="J1" s="4">
        <v>1009</v>
      </c>
      <c r="K1" s="4">
        <v>1010</v>
      </c>
      <c r="L1" s="4">
        <v>1011</v>
      </c>
      <c r="M1" s="4">
        <v>1012</v>
      </c>
      <c r="N1" s="4">
        <v>1013</v>
      </c>
      <c r="O1" s="4">
        <v>1014</v>
      </c>
      <c r="P1" s="4">
        <v>1015</v>
      </c>
      <c r="Q1" s="4">
        <v>1016</v>
      </c>
      <c r="R1" s="4">
        <v>1017</v>
      </c>
      <c r="S1" s="4">
        <v>1018</v>
      </c>
      <c r="T1" s="4">
        <v>1019</v>
      </c>
      <c r="U1" s="4">
        <v>1020</v>
      </c>
      <c r="V1" s="4">
        <v>1021</v>
      </c>
      <c r="W1" s="4">
        <v>1022</v>
      </c>
      <c r="X1" s="4">
        <v>1023</v>
      </c>
      <c r="Y1" s="4">
        <v>1024</v>
      </c>
      <c r="Z1" s="4">
        <v>1025</v>
      </c>
      <c r="AA1" s="4">
        <v>1026</v>
      </c>
      <c r="AB1" s="4">
        <v>1027</v>
      </c>
      <c r="AC1" s="4">
        <v>1028</v>
      </c>
      <c r="AD1" s="4">
        <v>1029</v>
      </c>
      <c r="AE1" s="4">
        <v>1030</v>
      </c>
      <c r="AF1" s="4">
        <v>1031</v>
      </c>
      <c r="AG1" s="4">
        <v>1032</v>
      </c>
      <c r="AH1" s="4">
        <v>1033</v>
      </c>
      <c r="AI1" s="4">
        <v>1034</v>
      </c>
      <c r="AJ1" s="4">
        <v>1035</v>
      </c>
      <c r="AK1" s="4">
        <v>1036</v>
      </c>
      <c r="AL1" s="4">
        <v>1037</v>
      </c>
      <c r="AM1" s="4">
        <v>1038</v>
      </c>
      <c r="AN1" s="4">
        <v>1039</v>
      </c>
      <c r="AO1" s="4">
        <v>1040</v>
      </c>
    </row>
    <row r="2" spans="1:41" x14ac:dyDescent="0.3">
      <c r="A2" s="7" t="s">
        <v>0</v>
      </c>
      <c r="B2" s="4" t="s">
        <v>43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44</v>
      </c>
      <c r="H2" s="4" t="s">
        <v>32</v>
      </c>
      <c r="I2" s="4" t="s">
        <v>54</v>
      </c>
      <c r="J2" s="4" t="s">
        <v>33</v>
      </c>
      <c r="K2" s="4" t="s">
        <v>55</v>
      </c>
      <c r="L2" s="4" t="s">
        <v>26</v>
      </c>
      <c r="M2" s="4" t="s">
        <v>57</v>
      </c>
      <c r="N2" s="4" t="s">
        <v>45</v>
      </c>
      <c r="O2" s="4" t="s">
        <v>58</v>
      </c>
      <c r="P2" s="4" t="s">
        <v>34</v>
      </c>
      <c r="Q2" s="4" t="s">
        <v>35</v>
      </c>
      <c r="R2" s="4" t="s">
        <v>56</v>
      </c>
      <c r="S2" s="4" t="s">
        <v>46</v>
      </c>
      <c r="T2" s="4" t="s">
        <v>47</v>
      </c>
      <c r="U2" s="4" t="s">
        <v>48</v>
      </c>
      <c r="V2" s="4" t="s">
        <v>27</v>
      </c>
      <c r="W2" s="4" t="s">
        <v>28</v>
      </c>
      <c r="X2" s="4" t="s">
        <v>36</v>
      </c>
      <c r="Y2" s="4" t="s">
        <v>37</v>
      </c>
      <c r="Z2" s="4" t="s">
        <v>38</v>
      </c>
      <c r="AA2" s="4" t="s">
        <v>49</v>
      </c>
      <c r="AB2" s="4" t="s">
        <v>39</v>
      </c>
      <c r="AC2" s="4" t="s">
        <v>29</v>
      </c>
      <c r="AD2" s="4" t="s">
        <v>59</v>
      </c>
      <c r="AE2" s="4" t="s">
        <v>60</v>
      </c>
      <c r="AF2" s="4" t="s">
        <v>40</v>
      </c>
      <c r="AG2" s="4" t="s">
        <v>50</v>
      </c>
      <c r="AH2" s="4" t="s">
        <v>51</v>
      </c>
      <c r="AI2" s="4" t="s">
        <v>41</v>
      </c>
      <c r="AJ2" s="4" t="s">
        <v>42</v>
      </c>
      <c r="AK2" s="4" t="s">
        <v>52</v>
      </c>
      <c r="AL2" s="4" t="s">
        <v>61</v>
      </c>
      <c r="AM2" s="4" t="s">
        <v>30</v>
      </c>
      <c r="AN2" s="4" t="s">
        <v>53</v>
      </c>
      <c r="AO2" s="4" t="s">
        <v>31</v>
      </c>
    </row>
    <row r="3" spans="1:41" x14ac:dyDescent="0.3">
      <c r="A3" s="7" t="s">
        <v>1</v>
      </c>
      <c r="B3" s="4" t="s">
        <v>7</v>
      </c>
      <c r="C3" s="4" t="s">
        <v>2</v>
      </c>
      <c r="D3" s="4" t="s">
        <v>65</v>
      </c>
      <c r="E3" s="4" t="s">
        <v>2</v>
      </c>
      <c r="F3" s="4" t="s">
        <v>2</v>
      </c>
      <c r="G3" s="4" t="s">
        <v>66</v>
      </c>
      <c r="H3" s="4" t="s">
        <v>65</v>
      </c>
      <c r="I3" s="4" t="s">
        <v>65</v>
      </c>
      <c r="J3" s="4" t="s">
        <v>65</v>
      </c>
      <c r="K3" s="4" t="s">
        <v>2</v>
      </c>
      <c r="L3" s="4" t="s">
        <v>7</v>
      </c>
      <c r="M3" s="4" t="s">
        <v>65</v>
      </c>
      <c r="N3" s="4" t="s">
        <v>2</v>
      </c>
      <c r="O3" s="4" t="s">
        <v>66</v>
      </c>
      <c r="P3" s="4" t="s">
        <v>7</v>
      </c>
      <c r="Q3" s="4" t="s">
        <v>66</v>
      </c>
      <c r="R3" s="4" t="s">
        <v>7</v>
      </c>
      <c r="S3" s="4" t="s">
        <v>2</v>
      </c>
      <c r="T3" s="4" t="s">
        <v>16</v>
      </c>
      <c r="U3" s="4" t="s">
        <v>7</v>
      </c>
      <c r="V3" s="4" t="s">
        <v>66</v>
      </c>
      <c r="W3" s="4" t="s">
        <v>2</v>
      </c>
      <c r="X3" s="4" t="s">
        <v>7</v>
      </c>
      <c r="Y3" s="4" t="s">
        <v>16</v>
      </c>
      <c r="Z3" s="4" t="s">
        <v>16</v>
      </c>
      <c r="AA3" s="4" t="s">
        <v>65</v>
      </c>
      <c r="AB3" s="4" t="s">
        <v>65</v>
      </c>
      <c r="AC3" s="4" t="s">
        <v>66</v>
      </c>
      <c r="AD3" s="4" t="s">
        <v>7</v>
      </c>
      <c r="AE3" s="4" t="s">
        <v>7</v>
      </c>
      <c r="AF3" s="4" t="s">
        <v>65</v>
      </c>
      <c r="AG3" s="4" t="s">
        <v>7</v>
      </c>
      <c r="AH3" s="4" t="s">
        <v>7</v>
      </c>
      <c r="AI3" s="4" t="s">
        <v>16</v>
      </c>
      <c r="AJ3" s="4" t="s">
        <v>65</v>
      </c>
      <c r="AK3" s="4" t="s">
        <v>2</v>
      </c>
      <c r="AL3" s="4" t="s">
        <v>65</v>
      </c>
      <c r="AM3" s="4" t="s">
        <v>2</v>
      </c>
      <c r="AN3" s="4" t="s">
        <v>16</v>
      </c>
      <c r="AO3" s="4" t="s">
        <v>66</v>
      </c>
    </row>
    <row r="4" spans="1:41" x14ac:dyDescent="0.3">
      <c r="A4" s="7" t="s">
        <v>21</v>
      </c>
      <c r="B4" s="4">
        <v>50627</v>
      </c>
      <c r="C4" s="4">
        <v>48792</v>
      </c>
      <c r="D4" s="4">
        <v>83323</v>
      </c>
      <c r="E4" s="4">
        <v>83021</v>
      </c>
      <c r="F4" s="4">
        <v>48433</v>
      </c>
      <c r="G4" s="4">
        <v>83001</v>
      </c>
      <c r="H4" s="4">
        <v>51016</v>
      </c>
      <c r="I4" s="4">
        <v>63897</v>
      </c>
      <c r="J4" s="4">
        <v>42612</v>
      </c>
      <c r="K4" s="4">
        <v>63483</v>
      </c>
      <c r="L4" s="4">
        <v>88555</v>
      </c>
      <c r="M4" s="4">
        <v>57159</v>
      </c>
      <c r="N4" s="4">
        <v>84974</v>
      </c>
      <c r="O4" s="4">
        <v>80994</v>
      </c>
      <c r="P4" s="4">
        <v>54541</v>
      </c>
      <c r="Q4" s="4">
        <v>75920</v>
      </c>
      <c r="R4" s="4">
        <v>66531</v>
      </c>
      <c r="S4" s="4">
        <v>41585</v>
      </c>
      <c r="T4" s="4">
        <v>43943</v>
      </c>
      <c r="U4" s="4">
        <v>63939</v>
      </c>
      <c r="V4" s="4">
        <v>59457</v>
      </c>
      <c r="W4" s="4">
        <v>41021</v>
      </c>
      <c r="X4" s="4">
        <v>51653</v>
      </c>
      <c r="Y4" s="4">
        <v>83573</v>
      </c>
      <c r="Z4" s="4">
        <v>53417</v>
      </c>
      <c r="AA4" s="4">
        <v>80757</v>
      </c>
      <c r="AB4" s="4">
        <v>49692</v>
      </c>
      <c r="AC4" s="4">
        <v>85758</v>
      </c>
      <c r="AD4" s="4">
        <v>46873</v>
      </c>
      <c r="AE4" s="4">
        <v>45675</v>
      </c>
      <c r="AF4" s="4">
        <v>40161</v>
      </c>
      <c r="AG4" s="4">
        <v>77065</v>
      </c>
      <c r="AH4" s="4">
        <v>66557</v>
      </c>
      <c r="AI4" s="4">
        <v>73763</v>
      </c>
      <c r="AJ4" s="4">
        <v>72606</v>
      </c>
      <c r="AK4" s="4">
        <v>51534</v>
      </c>
      <c r="AL4" s="4">
        <v>69127</v>
      </c>
      <c r="AM4" s="4">
        <v>80397</v>
      </c>
      <c r="AN4" s="4">
        <v>65851</v>
      </c>
      <c r="AO4" s="4">
        <v>41016</v>
      </c>
    </row>
    <row r="5" spans="1:41" x14ac:dyDescent="0.3">
      <c r="A5" s="7" t="s">
        <v>63</v>
      </c>
      <c r="B5" s="4">
        <v>42035</v>
      </c>
      <c r="C5" s="4">
        <v>42063</v>
      </c>
      <c r="D5" s="4">
        <v>42094</v>
      </c>
      <c r="E5" s="4">
        <v>42124</v>
      </c>
      <c r="F5" s="4">
        <v>42155</v>
      </c>
      <c r="G5" s="4">
        <v>42185</v>
      </c>
      <c r="H5" s="4">
        <v>42216</v>
      </c>
      <c r="I5" s="4">
        <v>42247</v>
      </c>
      <c r="J5" s="4">
        <v>42277</v>
      </c>
      <c r="K5" s="4">
        <v>42308</v>
      </c>
      <c r="L5" s="4">
        <v>42338</v>
      </c>
      <c r="M5" s="4">
        <v>42369</v>
      </c>
      <c r="N5" s="4">
        <v>42400</v>
      </c>
      <c r="O5" s="4">
        <v>42429</v>
      </c>
      <c r="P5" s="4">
        <v>42460</v>
      </c>
      <c r="Q5" s="4">
        <v>42490</v>
      </c>
      <c r="R5" s="4">
        <v>42521</v>
      </c>
      <c r="S5" s="4">
        <v>42551</v>
      </c>
      <c r="T5" s="4">
        <v>42582</v>
      </c>
      <c r="U5" s="4">
        <v>42613</v>
      </c>
      <c r="V5" s="4">
        <v>42643</v>
      </c>
      <c r="W5" s="4">
        <v>42674</v>
      </c>
      <c r="X5" s="4">
        <v>42704</v>
      </c>
      <c r="Y5" s="4">
        <v>42735</v>
      </c>
      <c r="Z5" s="4">
        <v>42766</v>
      </c>
      <c r="AA5" s="4">
        <v>42794</v>
      </c>
      <c r="AB5" s="4">
        <v>42825</v>
      </c>
      <c r="AC5" s="4">
        <v>42855</v>
      </c>
      <c r="AD5" s="4">
        <v>42886</v>
      </c>
      <c r="AE5" s="4">
        <v>42916</v>
      </c>
      <c r="AF5" s="4">
        <v>42947</v>
      </c>
      <c r="AG5" s="4">
        <v>42978</v>
      </c>
      <c r="AH5" s="4">
        <v>43008</v>
      </c>
      <c r="AI5" s="4">
        <v>43039</v>
      </c>
      <c r="AJ5" s="4">
        <v>43069</v>
      </c>
      <c r="AK5" s="4">
        <v>43100</v>
      </c>
      <c r="AL5" s="4">
        <v>43131</v>
      </c>
      <c r="AM5" s="4">
        <v>43159</v>
      </c>
      <c r="AN5" s="4">
        <v>43190</v>
      </c>
      <c r="AO5" s="4">
        <v>43220</v>
      </c>
    </row>
    <row r="6" spans="1:41" x14ac:dyDescent="0.3">
      <c r="A6" s="7" t="s">
        <v>64</v>
      </c>
      <c r="B6" s="4">
        <v>8</v>
      </c>
      <c r="C6" s="4">
        <v>5</v>
      </c>
      <c r="D6" s="4">
        <v>2</v>
      </c>
      <c r="E6" s="4">
        <v>5</v>
      </c>
      <c r="F6" s="4">
        <v>8</v>
      </c>
      <c r="G6" s="4">
        <v>9</v>
      </c>
      <c r="H6" s="4">
        <v>9</v>
      </c>
      <c r="I6" s="4">
        <v>1</v>
      </c>
      <c r="J6" s="4">
        <v>9</v>
      </c>
      <c r="K6" s="4">
        <v>7</v>
      </c>
      <c r="L6" s="4">
        <v>9</v>
      </c>
      <c r="M6" s="4">
        <v>8</v>
      </c>
      <c r="N6" s="4">
        <v>1</v>
      </c>
      <c r="O6" s="4">
        <v>8</v>
      </c>
      <c r="P6" s="4">
        <v>8</v>
      </c>
      <c r="Q6" s="4">
        <v>3</v>
      </c>
      <c r="R6" s="4">
        <v>1</v>
      </c>
      <c r="S6" s="4">
        <v>8</v>
      </c>
      <c r="T6" s="4">
        <v>3</v>
      </c>
      <c r="U6" s="4">
        <v>3</v>
      </c>
      <c r="V6" s="4">
        <v>1</v>
      </c>
      <c r="W6" s="4">
        <v>5</v>
      </c>
      <c r="X6" s="4">
        <v>7</v>
      </c>
      <c r="Y6" s="4">
        <v>9</v>
      </c>
      <c r="Z6" s="4">
        <v>7</v>
      </c>
      <c r="AA6" s="4">
        <v>9</v>
      </c>
      <c r="AB6" s="4">
        <v>8</v>
      </c>
      <c r="AC6" s="4">
        <v>2</v>
      </c>
      <c r="AD6" s="4">
        <v>1</v>
      </c>
      <c r="AE6" s="4">
        <v>7</v>
      </c>
      <c r="AF6" s="4">
        <v>7</v>
      </c>
      <c r="AG6" s="4">
        <v>8</v>
      </c>
      <c r="AH6" s="4">
        <v>5</v>
      </c>
      <c r="AI6" s="4">
        <v>3</v>
      </c>
      <c r="AJ6" s="4">
        <v>8</v>
      </c>
      <c r="AK6" s="4">
        <v>6</v>
      </c>
      <c r="AL6" s="4">
        <v>3</v>
      </c>
      <c r="AM6" s="4">
        <v>1</v>
      </c>
      <c r="AN6" s="4">
        <v>3</v>
      </c>
      <c r="AO6" s="4">
        <v>5</v>
      </c>
    </row>
    <row r="9" spans="1:41" x14ac:dyDescent="0.3">
      <c r="A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analysis</vt:lpstr>
      <vt:lpstr>Vertical Data</vt:lpstr>
      <vt:lpstr>solver optimization</vt:lpstr>
      <vt:lpstr>Regression Analysis output</vt:lpstr>
      <vt:lpstr>regression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rohit gosavi</cp:lastModifiedBy>
  <dcterms:created xsi:type="dcterms:W3CDTF">2026-07-20T10:03:48Z</dcterms:created>
  <dcterms:modified xsi:type="dcterms:W3CDTF">2026-10-05T12:44:07Z</dcterms:modified>
</cp:coreProperties>
</file>