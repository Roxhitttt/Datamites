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Datamites\9. Advance Data Science\ADS_2026-main\ADS_2026-main\3. CNN\"/>
    </mc:Choice>
  </mc:AlternateContent>
  <xr:revisionPtr revIDLastSave="0" documentId="13_ncr:1_{09611C66-DEDB-4AFB-906E-ED89F8CEF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entive Sheet" sheetId="1" r:id="rId1"/>
  </sheets>
  <definedNames>
    <definedName name="_xlnm._FilterDatabase" localSheetId="0" hidden="1">'Incentive Sheet'!$A$1:$G$9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1" i="1"/>
  <c r="C14" i="1"/>
  <c r="C13" i="1"/>
  <c r="C12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<sst xmlns="http://schemas.openxmlformats.org/spreadsheetml/2006/main" count="37" uniqueCount="27">
  <si>
    <t>Department</t>
  </si>
  <si>
    <t>Sales</t>
  </si>
  <si>
    <t>Region</t>
  </si>
  <si>
    <t>Target</t>
  </si>
  <si>
    <t>Status</t>
  </si>
  <si>
    <t>Eligibility</t>
  </si>
  <si>
    <t>John</t>
  </si>
  <si>
    <t>Marketing</t>
  </si>
  <si>
    <t>North</t>
  </si>
  <si>
    <t>Alice</t>
  </si>
  <si>
    <t>South</t>
  </si>
  <si>
    <t>Bob</t>
  </si>
  <si>
    <t>East</t>
  </si>
  <si>
    <t>Emma</t>
  </si>
  <si>
    <t>West</t>
  </si>
  <si>
    <t>David</t>
  </si>
  <si>
    <t>HR</t>
  </si>
  <si>
    <t>Lucy</t>
  </si>
  <si>
    <t>Oliver</t>
  </si>
  <si>
    <t>Sophie</t>
  </si>
  <si>
    <t xml:space="preserve"> </t>
  </si>
  <si>
    <t>max</t>
  </si>
  <si>
    <t>min</t>
  </si>
  <si>
    <t>avg</t>
  </si>
  <si>
    <t>count of rec</t>
  </si>
  <si>
    <t>sum/total sales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</si>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</sst>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pane ySplit="1" topLeftCell="A2" activePane="bottomLeft" state="frozen"/>
      <selection pane="bottomLeft" activeCell="I7" activeCellId="1" sqref="C14 I7"/>
    </sheetView>
  </sheetViews>
  <sheetFormatPr defaultRowHeight="14.4" x14ac:dyDescent="0.3"/>
  <cols>
    <col min="1" max="1" width="14" customWidth="1"/>
    <col min="2" max="2" width="17" customWidth="1"/>
    <col min="3" max="5" width="12" customWidth="1"/>
    <col min="6" max="7" width="25" customWidth="1"/>
  </cols>
  <sheetData>
    <row r="1" spans="1:7" ht="24" customHeight="1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4.049999999999997" customHeight="1" x14ac:dyDescent="0.3">
      <c r="A2" s="2" t="s">
        <v>6</v>
      </c>
      <c r="B2" s="2" t="s">
        <v>7</v>
      </c>
      <c r="C2" s="3">
        <v>5000</v>
      </c>
      <c r="D2" s="2" t="s">
        <v>8</v>
      </c>
      <c r="E2" s="3">
        <v>8000</v>
      </c>
      <c r="F2" s="2" t="str">
        <f t="shared" ref="F2:F9" si="0">IF(C2&gt;=E2,"Eligible for incentive","Not eligible for incentive")</f>
        <v>Not eligible for incentive</v>
      </c>
      <c r="G2" s="2" t="str">
        <f t="shared" ref="G2:G9" si="1">IF(D2="West","Eligible for incentive","Not eligible for incentive")</f>
        <v>Not eligible for incentive</v>
      </c>
    </row>
    <row r="3" spans="1:7" ht="34.049999999999997" customHeight="1" x14ac:dyDescent="0.3">
      <c r="A3" s="4" t="s">
        <v>9</v>
      </c>
      <c r="B3" s="4" t="s">
        <v>1</v>
      </c>
      <c r="C3" s="5">
        <v>7000</v>
      </c>
      <c r="D3" s="4" t="s">
        <v>10</v>
      </c>
      <c r="E3" s="5">
        <v>12000</v>
      </c>
      <c r="F3" s="4" t="str">
        <f t="shared" si="0"/>
        <v>Not eligible for incentive</v>
      </c>
      <c r="G3" s="4" t="str">
        <f t="shared" si="1"/>
        <v>Not eligible for incentive</v>
      </c>
    </row>
    <row r="4" spans="1:7" ht="34.049999999999997" customHeight="1" x14ac:dyDescent="0.3">
      <c r="A4" s="2" t="s">
        <v>11</v>
      </c>
      <c r="B4" s="2" t="s">
        <v>7</v>
      </c>
      <c r="C4" s="3">
        <v>8500</v>
      </c>
      <c r="D4" s="2" t="s">
        <v>12</v>
      </c>
      <c r="E4" s="3">
        <v>8000</v>
      </c>
      <c r="F4" s="2" t="str">
        <f t="shared" si="0"/>
        <v>Eligible for incentive</v>
      </c>
      <c r="G4" s="2" t="str">
        <f t="shared" si="1"/>
        <v>Not eligible for incentive</v>
      </c>
    </row>
    <row r="5" spans="1:7" ht="34.049999999999997" customHeight="1" x14ac:dyDescent="0.3">
      <c r="A5" s="4" t="s">
        <v>13</v>
      </c>
      <c r="B5" s="4" t="s">
        <v>1</v>
      </c>
      <c r="C5" s="5">
        <v>4000</v>
      </c>
      <c r="D5" s="4" t="s">
        <v>14</v>
      </c>
      <c r="E5" s="5">
        <v>12000</v>
      </c>
      <c r="F5" s="4" t="str">
        <f t="shared" si="0"/>
        <v>Not eligible for incentive</v>
      </c>
      <c r="G5" s="4" t="str">
        <f t="shared" si="1"/>
        <v>Eligible for incentive</v>
      </c>
    </row>
    <row r="6" spans="1:7" ht="34.049999999999997" customHeight="1" x14ac:dyDescent="0.3">
      <c r="A6" s="2" t="s">
        <v>15</v>
      </c>
      <c r="B6" s="2" t="s">
        <v>16</v>
      </c>
      <c r="C6" s="3">
        <v>2000</v>
      </c>
      <c r="D6" s="2" t="s">
        <v>8</v>
      </c>
      <c r="E6" s="3">
        <v>5000</v>
      </c>
      <c r="F6" s="2" t="str">
        <f t="shared" si="0"/>
        <v>Not eligible for incentive</v>
      </c>
      <c r="G6" s="2" t="str">
        <f t="shared" si="1"/>
        <v>Not eligible for incentive</v>
      </c>
    </row>
    <row r="7" spans="1:7" ht="34.049999999999997" customHeight="1" x14ac:dyDescent="0.3">
      <c r="A7" s="4" t="s">
        <v>17</v>
      </c>
      <c r="B7" s="4" t="s">
        <v>1</v>
      </c>
      <c r="C7" s="5">
        <v>13000</v>
      </c>
      <c r="D7" s="4" t="s">
        <v>12</v>
      </c>
      <c r="E7" s="5">
        <v>12000</v>
      </c>
      <c r="F7" s="4" t="str">
        <f t="shared" si="0"/>
        <v>Eligible for incentive</v>
      </c>
      <c r="G7" s="4" t="str">
        <f t="shared" si="1"/>
        <v>Not eligible for incentive</v>
      </c>
    </row>
    <row r="8" spans="1:7" ht="34.049999999999997" customHeight="1" x14ac:dyDescent="0.3">
      <c r="A8" s="2" t="s">
        <v>18</v>
      </c>
      <c r="B8" s="2" t="s">
        <v>7</v>
      </c>
      <c r="C8" s="3">
        <v>4500</v>
      </c>
      <c r="D8" s="2" t="s">
        <v>14</v>
      </c>
      <c r="E8" s="3">
        <v>8000</v>
      </c>
      <c r="F8" s="2" t="str">
        <f t="shared" si="0"/>
        <v>Not eligible for incentive</v>
      </c>
      <c r="G8" s="2" t="str">
        <f t="shared" si="1"/>
        <v>Eligible for incentive</v>
      </c>
    </row>
    <row r="9" spans="1:7" ht="34.049999999999997" customHeight="1" x14ac:dyDescent="0.3">
      <c r="A9" s="4" t="s">
        <v>19</v>
      </c>
      <c r="B9" s="4" t="s">
        <v>16</v>
      </c>
      <c r="C9" s="5">
        <v>3500</v>
      </c>
      <c r="D9" s="4" t="s">
        <v>10</v>
      </c>
      <c r="E9" s="5">
        <v>5000</v>
      </c>
      <c r="F9" s="4" t="str">
        <f t="shared" si="0"/>
        <v>Not eligible for incentive</v>
      </c>
      <c r="G9" s="4" t="str">
        <f t="shared" si="1"/>
        <v>Not eligible for incentive</v>
      </c>
    </row>
    <row r="11" spans="1:7" x14ac:dyDescent="0.3">
      <c r="B11" t="s">
        <v>26</v>
      </c>
      <c r="C11" s="6">
        <f>SUM(C3:C9)</f>
        <v>42500</v>
      </c>
    </row>
    <row r="12" spans="1:7" x14ac:dyDescent="0.3">
      <c r="B12" t="s">
        <v>21</v>
      </c>
      <c r="C12" s="6">
        <f>MAX(C2:C9)</f>
        <v>13000</v>
      </c>
    </row>
    <row r="13" spans="1:7" x14ac:dyDescent="0.3">
      <c r="B13" t="s">
        <v>22</v>
      </c>
      <c r="C13" s="6">
        <f>MIN(C2:C9)</f>
        <v>2000</v>
      </c>
    </row>
    <row r="14" spans="1:7" x14ac:dyDescent="0.3">
      <c r="B14" t="s">
        <v>23</v>
      </c>
      <c r="C14">
        <f>AVERAGE(C2:C9)</f>
        <v>5937.5</v>
      </c>
    </row>
    <row r="15" spans="1:7" x14ac:dyDescent="0.3">
      <c r="B15" t="s">
        <v>24</v>
      </c>
      <c r="C15">
        <f>COUNT(C3:C9)</f>
        <v>7</v>
      </c>
    </row>
    <row r="16" spans="1:7" x14ac:dyDescent="0.3">
      <c r="B16" t="s">
        <v>25</v>
      </c>
    </row>
  </sheetData>
  <autoFilter ref="A1:G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gosavi</cp:lastModifiedBy>
  <dcterms:created xsi:type="dcterms:W3CDTF">2026-10-05T05:50:05Z</dcterms:created>
  <dcterms:modified xsi:type="dcterms:W3CDTF">2026-10-05T09:57:05Z</dcterms:modified>
</cp:coreProperties>
</file>