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mite\5. Statistics\"/>
    </mc:Choice>
  </mc:AlternateContent>
  <xr:revisionPtr revIDLastSave="0" documentId="13_ncr:1_{FBA0B2D4-0EE3-4911-B3E7-387B233535D5}" xr6:coauthVersionLast="36" xr6:coauthVersionMax="36" xr10:uidLastSave="{00000000-0000-0000-0000-000000000000}"/>
  <bookViews>
    <workbookView xWindow="0" yWindow="0" windowWidth="23040" windowHeight="8940" xr2:uid="{C7FCB5DB-EC21-4605-9F03-65AD89E70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8" i="1"/>
  <c r="I2" i="1" l="1"/>
  <c r="I1" i="1"/>
  <c r="C15" i="1" l="1"/>
  <c r="C16" i="1" s="1"/>
  <c r="C14" i="1"/>
  <c r="C12" i="1"/>
  <c r="C11" i="1"/>
  <c r="C10" i="1"/>
  <c r="C8" i="1"/>
  <c r="C7" i="1"/>
  <c r="C6" i="1"/>
  <c r="C4" i="1"/>
  <c r="C2" i="1"/>
</calcChain>
</file>

<file path=xl/sharedStrings.xml><?xml version="1.0" encoding="utf-8"?>
<sst xmlns="http://schemas.openxmlformats.org/spreadsheetml/2006/main" count="43" uniqueCount="41">
  <si>
    <t>stud age</t>
  </si>
  <si>
    <t>var</t>
  </si>
  <si>
    <t>stdev</t>
  </si>
  <si>
    <t xml:space="preserve">AVERAGE </t>
  </si>
  <si>
    <t>Mean</t>
  </si>
  <si>
    <t xml:space="preserve">Median </t>
  </si>
  <si>
    <t>Mode</t>
  </si>
  <si>
    <t>min</t>
  </si>
  <si>
    <t>max</t>
  </si>
  <si>
    <t>range</t>
  </si>
  <si>
    <t xml:space="preserve">Percentile </t>
  </si>
  <si>
    <t>Q1</t>
  </si>
  <si>
    <t>Q3</t>
  </si>
  <si>
    <t>IQR</t>
  </si>
  <si>
    <t>Without outlier</t>
  </si>
  <si>
    <t>with outlier</t>
  </si>
  <si>
    <t># =Cell of max – Cell of min = Range</t>
  </si>
  <si>
    <t># =Cell of Percentile Q3 - Cell of Percentile Q1</t>
  </si>
  <si>
    <t>ignore #</t>
  </si>
  <si>
    <t>minima</t>
  </si>
  <si>
    <t xml:space="preserve">maxima </t>
  </si>
  <si>
    <t># =VAR(A2:A16)</t>
  </si>
  <si>
    <t># =STDEV(A2:A16)</t>
  </si>
  <si>
    <t># =AVERAGE(A2:A16) which is mean</t>
  </si>
  <si>
    <t># =MEDIAN(A2:A16)</t>
  </si>
  <si>
    <t># =MODE(A2:A16)</t>
  </si>
  <si>
    <t># =MIN(A2:A16) minimum value</t>
  </si>
  <si>
    <t># =MAX(A2:A16) maximum value</t>
  </si>
  <si>
    <t># =PERCENTILE(A2:A16,0.25) Which is Q1</t>
  </si>
  <si>
    <t># =PERCENTILE(A2:A16,0.75) Which is Q3</t>
  </si>
  <si>
    <t># Minima =C6-3*C4 where C6 is Mean | C4 is Stdev</t>
  </si>
  <si>
    <t># Maxima = C6+3*C4</t>
  </si>
  <si>
    <t xml:space="preserve">Formula </t>
  </si>
  <si>
    <t>minima = X - 3s</t>
  </si>
  <si>
    <t>maxima = X + 3s</t>
  </si>
  <si>
    <t>data &gt; maxima are outliers</t>
  </si>
  <si>
    <t>data &lt; minima are outliers</t>
  </si>
  <si>
    <t>Skewness</t>
  </si>
  <si>
    <t>Kurtosis</t>
  </si>
  <si>
    <t># =SKEW(A2:A16)</t>
  </si>
  <si>
    <t># = KURT(A2:A16)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</si>
</sst>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5A97-D533-4A35-936C-AADFC1C9EFB7}">
  <dimension ref="A1:N19"/>
  <sheetViews>
    <sheetView tabSelected="1" topLeftCell="A9" workbookViewId="0">
      <selection activeCell="F22" sqref="F22"/>
    </sheetView>
  </sheetViews>
  <sheetFormatPr defaultRowHeight="14.4" x14ac:dyDescent="0.3"/>
  <cols>
    <col min="8" max="8" width="14.33203125" customWidth="1"/>
    <col min="9" max="9" width="13.33203125" customWidth="1"/>
    <col min="11" max="11" width="8.5546875" customWidth="1"/>
    <col min="12" max="12" width="53.5546875" customWidth="1"/>
    <col min="13" max="13" width="15.109375" customWidth="1"/>
    <col min="14" max="14" width="23.44140625" customWidth="1"/>
    <col min="15" max="15" width="11.88671875" customWidth="1"/>
    <col min="16" max="16" width="51.5546875" customWidth="1"/>
    <col min="17" max="17" width="20.5546875" customWidth="1"/>
  </cols>
  <sheetData>
    <row r="1" spans="1:14" x14ac:dyDescent="0.3">
      <c r="A1" t="s">
        <v>0</v>
      </c>
      <c r="H1" t="s">
        <v>19</v>
      </c>
      <c r="I1">
        <f>C6-3*C4</f>
        <v>-56.864579958720789</v>
      </c>
      <c r="K1" t="s">
        <v>32</v>
      </c>
      <c r="L1" t="s">
        <v>30</v>
      </c>
      <c r="M1" t="s">
        <v>33</v>
      </c>
      <c r="N1" t="s">
        <v>35</v>
      </c>
    </row>
    <row r="2" spans="1:14" x14ac:dyDescent="0.3">
      <c r="A2">
        <v>8</v>
      </c>
      <c r="C2">
        <f>VAR(A2:A16)</f>
        <v>563.2380952380953</v>
      </c>
      <c r="E2" t="s">
        <v>1</v>
      </c>
      <c r="H2" t="s">
        <v>20</v>
      </c>
      <c r="I2">
        <f>C6+3*C4</f>
        <v>85.531246625387453</v>
      </c>
      <c r="K2" t="s">
        <v>32</v>
      </c>
      <c r="L2" t="s">
        <v>31</v>
      </c>
      <c r="M2" t="s">
        <v>34</v>
      </c>
      <c r="N2" t="s">
        <v>36</v>
      </c>
    </row>
    <row r="3" spans="1:14" x14ac:dyDescent="0.3">
      <c r="A3">
        <v>7</v>
      </c>
    </row>
    <row r="4" spans="1:14" x14ac:dyDescent="0.3">
      <c r="A4">
        <v>9</v>
      </c>
      <c r="C4">
        <f>STDEV(A2:A16)</f>
        <v>23.732637764018044</v>
      </c>
      <c r="E4" t="s">
        <v>2</v>
      </c>
    </row>
    <row r="5" spans="1:14" x14ac:dyDescent="0.3">
      <c r="A5">
        <v>10</v>
      </c>
    </row>
    <row r="6" spans="1:14" x14ac:dyDescent="0.3">
      <c r="A6">
        <v>7</v>
      </c>
      <c r="C6">
        <f>AVERAGE(A2:A16)</f>
        <v>14.333333333333334</v>
      </c>
      <c r="E6" t="s">
        <v>3</v>
      </c>
      <c r="F6" t="s">
        <v>4</v>
      </c>
    </row>
    <row r="7" spans="1:14" ht="17.399999999999999" x14ac:dyDescent="0.3">
      <c r="A7">
        <v>8</v>
      </c>
      <c r="C7">
        <f>MEDIAN(A2:A16)</f>
        <v>8</v>
      </c>
      <c r="E7" t="s">
        <v>5</v>
      </c>
      <c r="L7" s="1" t="s">
        <v>21</v>
      </c>
    </row>
    <row r="8" spans="1:14" ht="17.399999999999999" x14ac:dyDescent="0.3">
      <c r="A8">
        <v>10</v>
      </c>
      <c r="C8">
        <f>MODE(A2:A16)</f>
        <v>7</v>
      </c>
      <c r="E8" t="s">
        <v>6</v>
      </c>
      <c r="L8" s="1" t="s">
        <v>22</v>
      </c>
    </row>
    <row r="9" spans="1:14" ht="17.399999999999999" x14ac:dyDescent="0.3">
      <c r="A9">
        <v>6</v>
      </c>
      <c r="L9" s="1" t="s">
        <v>23</v>
      </c>
    </row>
    <row r="10" spans="1:14" ht="17.399999999999999" x14ac:dyDescent="0.3">
      <c r="A10">
        <v>10</v>
      </c>
      <c r="C10">
        <f>MIN(A2:A16)</f>
        <v>6</v>
      </c>
      <c r="E10" t="s">
        <v>7</v>
      </c>
      <c r="H10" t="s">
        <v>14</v>
      </c>
      <c r="I10" t="s">
        <v>15</v>
      </c>
      <c r="L10" s="1" t="s">
        <v>24</v>
      </c>
    </row>
    <row r="11" spans="1:14" ht="17.399999999999999" x14ac:dyDescent="0.3">
      <c r="A11">
        <v>9</v>
      </c>
      <c r="C11">
        <f>MAX(A2:A16)</f>
        <v>100</v>
      </c>
      <c r="E11" t="s">
        <v>8</v>
      </c>
      <c r="L11" s="1" t="s">
        <v>25</v>
      </c>
    </row>
    <row r="12" spans="1:14" ht="17.399999999999999" x14ac:dyDescent="0.3">
      <c r="A12">
        <v>7</v>
      </c>
      <c r="C12">
        <f>A10 - A9</f>
        <v>4</v>
      </c>
      <c r="F12" t="s">
        <v>9</v>
      </c>
      <c r="L12" s="1" t="s">
        <v>26</v>
      </c>
    </row>
    <row r="13" spans="1:14" ht="17.399999999999999" x14ac:dyDescent="0.3">
      <c r="A13">
        <v>9</v>
      </c>
      <c r="L13" s="1" t="s">
        <v>27</v>
      </c>
    </row>
    <row r="14" spans="1:14" ht="17.399999999999999" x14ac:dyDescent="0.3">
      <c r="A14">
        <v>100</v>
      </c>
      <c r="C14">
        <f>PERCENTILE(A2:A16,0.25)</f>
        <v>7</v>
      </c>
      <c r="E14" t="s">
        <v>10</v>
      </c>
      <c r="F14" t="s">
        <v>11</v>
      </c>
      <c r="K14" t="s">
        <v>18</v>
      </c>
      <c r="L14" s="1" t="s">
        <v>16</v>
      </c>
    </row>
    <row r="15" spans="1:14" ht="17.399999999999999" x14ac:dyDescent="0.3">
      <c r="A15">
        <v>7</v>
      </c>
      <c r="C15">
        <f>PERCENTILE(A2:A16,0.75)</f>
        <v>9.5</v>
      </c>
      <c r="F15" t="s">
        <v>12</v>
      </c>
      <c r="L15" s="1" t="s">
        <v>28</v>
      </c>
    </row>
    <row r="16" spans="1:14" ht="17.399999999999999" x14ac:dyDescent="0.3">
      <c r="A16">
        <v>8</v>
      </c>
      <c r="C16">
        <f>C15-C14</f>
        <v>2.5</v>
      </c>
      <c r="F16" t="s">
        <v>13</v>
      </c>
      <c r="L16" s="1" t="s">
        <v>29</v>
      </c>
    </row>
    <row r="17" spans="3:12" ht="17.399999999999999" x14ac:dyDescent="0.3">
      <c r="K17" t="s">
        <v>18</v>
      </c>
      <c r="L17" s="1" t="s">
        <v>17</v>
      </c>
    </row>
    <row r="18" spans="3:12" ht="17.399999999999999" x14ac:dyDescent="0.3">
      <c r="C18">
        <f>SKEW(A2:A16)</f>
        <v>3.8539960657769075</v>
      </c>
      <c r="E18" t="s">
        <v>37</v>
      </c>
      <c r="L18" s="1" t="s">
        <v>39</v>
      </c>
    </row>
    <row r="19" spans="3:12" ht="17.399999999999999" x14ac:dyDescent="0.3">
      <c r="C19">
        <f>KURT(A2:A16)</f>
        <v>14.895476756112952</v>
      </c>
      <c r="E19" t="s">
        <v>38</v>
      </c>
      <c r="L19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2026-01-01T11:59:07Z</dcterms:created>
  <dcterms:modified xsi:type="dcterms:W3CDTF">2026-01-01T14:44:25Z</dcterms:modified>
</cp:coreProperties>
</file>